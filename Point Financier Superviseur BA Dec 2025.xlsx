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4\Weekly Report\Sent to Client S&amp;D\payments\December\"/>
    </mc:Choice>
  </mc:AlternateContent>
  <xr:revisionPtr revIDLastSave="0" documentId="13_ncr:1_{65154079-F4DA-4E61-9C32-72700C19E557}" xr6:coauthVersionLast="47" xr6:coauthVersionMax="47" xr10:uidLastSave="{00000000-0000-0000-0000-000000000000}"/>
  <bookViews>
    <workbookView xWindow="-108" yWindow="-108" windowWidth="23256" windowHeight="12456" activeTab="4" xr2:uid="{FF4BB76D-671F-4131-AB4B-5E03A7682E43}"/>
  </bookViews>
  <sheets>
    <sheet name="Recap" sheetId="5" r:id="rId1"/>
    <sheet name="Fixe" sheetId="3" r:id="rId2"/>
    <sheet name="Variable (Performance)" sheetId="2" r:id="rId3"/>
    <sheet name="Variable 15 BA par Jour" sheetId="1" r:id="rId4"/>
    <sheet name="Superviseur Mercenaire prim NA" sheetId="4" r:id="rId5"/>
    <sheet name="Detail des Commission" sheetId="6" r:id="rId6"/>
  </sheets>
  <definedNames>
    <definedName name="_xlnm._FilterDatabase" localSheetId="1" hidden="1">Fixe!$B$2:$G$42</definedName>
    <definedName name="_xlnm._FilterDatabase" localSheetId="2" hidden="1">'Variable (Performance)'!$B$2:$J$42</definedName>
    <definedName name="_xlnm._FilterDatabase" localSheetId="3" hidden="1">'Variable 15 BA par Jour'!$A$3:$AK$44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" l="1"/>
  <c r="AK5" i="1" s="1"/>
  <c r="AJ6" i="1"/>
  <c r="AK6" i="1" s="1"/>
  <c r="AJ7" i="1"/>
  <c r="AK7" i="1" s="1"/>
  <c r="AJ8" i="1"/>
  <c r="AK8" i="1" s="1"/>
  <c r="AJ9" i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K16" i="1" s="1"/>
  <c r="AJ17" i="1"/>
  <c r="AK17" i="1" s="1"/>
  <c r="AJ18" i="1"/>
  <c r="AK18" i="1" s="1"/>
  <c r="AJ19" i="1"/>
  <c r="AK19" i="1" s="1"/>
  <c r="AJ20" i="1"/>
  <c r="AK20" i="1" s="1"/>
  <c r="AJ21" i="1"/>
  <c r="AK21" i="1" s="1"/>
  <c r="AJ22" i="1"/>
  <c r="AK22" i="1" s="1"/>
  <c r="AJ23" i="1"/>
  <c r="AK23" i="1" s="1"/>
  <c r="AJ24" i="1"/>
  <c r="AK24" i="1" s="1"/>
  <c r="AJ25" i="1"/>
  <c r="AK25" i="1" s="1"/>
  <c r="AJ26" i="1"/>
  <c r="AK26" i="1" s="1"/>
  <c r="AJ27" i="1"/>
  <c r="AK27" i="1" s="1"/>
  <c r="AJ28" i="1"/>
  <c r="AK28" i="1" s="1"/>
  <c r="AJ29" i="1"/>
  <c r="AK29" i="1" s="1"/>
  <c r="AJ30" i="1"/>
  <c r="AK30" i="1" s="1"/>
  <c r="AJ31" i="1"/>
  <c r="AK31" i="1" s="1"/>
  <c r="AJ32" i="1"/>
  <c r="AK32" i="1" s="1"/>
  <c r="AJ33" i="1"/>
  <c r="AK33" i="1" s="1"/>
  <c r="AJ34" i="1"/>
  <c r="AK34" i="1" s="1"/>
  <c r="AJ35" i="1"/>
  <c r="AK35" i="1" s="1"/>
  <c r="AJ36" i="1"/>
  <c r="AK36" i="1" s="1"/>
  <c r="AJ37" i="1"/>
  <c r="AK37" i="1" s="1"/>
  <c r="AJ38" i="1"/>
  <c r="AK38" i="1" s="1"/>
  <c r="AJ39" i="1"/>
  <c r="AK39" i="1" s="1"/>
  <c r="AJ40" i="1"/>
  <c r="AK40" i="1" s="1"/>
  <c r="AJ41" i="1"/>
  <c r="AK41" i="1" s="1"/>
  <c r="AJ42" i="1"/>
  <c r="AK42" i="1" s="1"/>
  <c r="AJ43" i="1"/>
  <c r="AK43" i="1" s="1"/>
  <c r="I12" i="2"/>
  <c r="G4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7" i="3"/>
  <c r="G38" i="3"/>
  <c r="G39" i="3"/>
  <c r="G40" i="3"/>
  <c r="O44" i="1" l="1"/>
  <c r="Q44" i="1"/>
  <c r="R44" i="1"/>
  <c r="P44" i="1"/>
  <c r="M44" i="1"/>
  <c r="S44" i="1"/>
  <c r="K44" i="1"/>
  <c r="I44" i="1"/>
  <c r="G44" i="1"/>
  <c r="F44" i="1"/>
  <c r="H44" i="1"/>
  <c r="J44" i="1"/>
  <c r="L44" i="1"/>
  <c r="N44" i="1"/>
  <c r="AE44" i="1"/>
  <c r="AH44" i="1"/>
  <c r="AA44" i="1"/>
  <c r="U44" i="1"/>
  <c r="V44" i="1"/>
  <c r="X44" i="1"/>
  <c r="Z44" i="1"/>
  <c r="Y44" i="1"/>
  <c r="AC44" i="1"/>
  <c r="AD44" i="1"/>
  <c r="AF44" i="1"/>
  <c r="AG44" i="1"/>
  <c r="T44" i="1"/>
  <c r="W44" i="1"/>
  <c r="AB44" i="1"/>
  <c r="AJ4" i="1"/>
  <c r="E44" i="1" l="1"/>
  <c r="I42" i="2"/>
  <c r="J42" i="2" s="1"/>
  <c r="C49" i="6" l="1"/>
  <c r="D39" i="6"/>
  <c r="E39" i="6" s="1"/>
  <c r="D38" i="6"/>
  <c r="E38" i="6" s="1"/>
  <c r="D37" i="6"/>
  <c r="E37" i="6" s="1"/>
  <c r="D36" i="6"/>
  <c r="E36" i="6" s="1"/>
  <c r="E35" i="6"/>
  <c r="D35" i="6"/>
  <c r="D34" i="6"/>
  <c r="E34" i="6" s="1"/>
  <c r="E41" i="6" s="1"/>
  <c r="C24" i="6"/>
  <c r="C13" i="6"/>
  <c r="C12" i="6"/>
  <c r="C11" i="6"/>
  <c r="C14" i="6" s="1"/>
  <c r="E16" i="5"/>
  <c r="D16" i="5"/>
  <c r="G5" i="4"/>
  <c r="F14" i="5" s="1"/>
  <c r="G6" i="4"/>
  <c r="F15" i="5" s="1"/>
  <c r="G4" i="4"/>
  <c r="F13" i="5" s="1"/>
  <c r="G3" i="3"/>
  <c r="G1" i="3" s="1"/>
  <c r="H1" i="2"/>
  <c r="I23" i="2"/>
  <c r="J23" i="2" s="1"/>
  <c r="I24" i="2"/>
  <c r="J24" i="2" s="1"/>
  <c r="I33" i="2"/>
  <c r="J33" i="2" s="1"/>
  <c r="I13" i="2"/>
  <c r="J13" i="2" s="1"/>
  <c r="I14" i="2"/>
  <c r="J14" i="2" s="1"/>
  <c r="I29" i="2"/>
  <c r="J29" i="2" s="1"/>
  <c r="I30" i="2"/>
  <c r="J30" i="2" s="1"/>
  <c r="I31" i="2"/>
  <c r="J31" i="2" s="1"/>
  <c r="I32" i="2"/>
  <c r="J32" i="2" s="1"/>
  <c r="I37" i="2"/>
  <c r="J37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J12" i="2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5" i="2"/>
  <c r="J25" i="2" s="1"/>
  <c r="I26" i="2"/>
  <c r="J26" i="2" s="1"/>
  <c r="I27" i="2"/>
  <c r="J27" i="2" s="1"/>
  <c r="I28" i="2"/>
  <c r="J28" i="2" s="1"/>
  <c r="I34" i="2"/>
  <c r="J34" i="2" s="1"/>
  <c r="I35" i="2"/>
  <c r="J35" i="2" s="1"/>
  <c r="I36" i="2"/>
  <c r="J36" i="2" s="1"/>
  <c r="I38" i="2"/>
  <c r="J38" i="2" s="1"/>
  <c r="I39" i="2"/>
  <c r="J39" i="2" s="1"/>
  <c r="I40" i="2"/>
  <c r="J40" i="2" s="1"/>
  <c r="I41" i="2"/>
  <c r="J41" i="2" s="1"/>
  <c r="F16" i="5" l="1"/>
  <c r="D17" i="5" s="1"/>
  <c r="G2" i="4"/>
  <c r="D7" i="5" s="1"/>
  <c r="D4" i="5"/>
  <c r="D41" i="6"/>
  <c r="I3" i="2"/>
  <c r="J3" i="2" s="1"/>
  <c r="J1" i="2" s="1"/>
  <c r="D5" i="5" s="1"/>
  <c r="AJ44" i="1" l="1"/>
  <c r="AK44" i="1" s="1"/>
  <c r="AK4" i="1"/>
  <c r="AK2" i="1" l="1"/>
  <c r="D6" i="5" s="1"/>
  <c r="D8" i="5" s="1"/>
</calcChain>
</file>

<file path=xl/sharedStrings.xml><?xml version="1.0" encoding="utf-8"?>
<sst xmlns="http://schemas.openxmlformats.org/spreadsheetml/2006/main" count="468" uniqueCount="121">
  <si>
    <t>Superviseur</t>
  </si>
  <si>
    <t>Bénit</t>
  </si>
  <si>
    <t>Vincent de Paul</t>
  </si>
  <si>
    <t>Fernand</t>
  </si>
  <si>
    <t>Marcus</t>
  </si>
  <si>
    <t>Eugène</t>
  </si>
  <si>
    <t>Samuel Bossou</t>
  </si>
  <si>
    <t>Roland</t>
  </si>
  <si>
    <t>Fulbert</t>
  </si>
  <si>
    <t>Gilbert</t>
  </si>
  <si>
    <t>Félicien</t>
  </si>
  <si>
    <t>Arcadius</t>
  </si>
  <si>
    <t>Albéric</t>
  </si>
  <si>
    <t>Louis</t>
  </si>
  <si>
    <t>Donatien</t>
  </si>
  <si>
    <t>Etienne</t>
  </si>
  <si>
    <t>Ricardo</t>
  </si>
  <si>
    <t>Ramanou</t>
  </si>
  <si>
    <t>Olivier</t>
  </si>
  <si>
    <t>Serge</t>
  </si>
  <si>
    <t>Basile</t>
  </si>
  <si>
    <t>Togni Koshami Guillaume</t>
  </si>
  <si>
    <t>Amos</t>
  </si>
  <si>
    <t>Maxime</t>
  </si>
  <si>
    <t>Prosper</t>
  </si>
  <si>
    <t>Raoul</t>
  </si>
  <si>
    <t>Valentin</t>
  </si>
  <si>
    <t>Jérome</t>
  </si>
  <si>
    <t>Robert</t>
  </si>
  <si>
    <t>Cosme</t>
  </si>
  <si>
    <t>Antoine</t>
  </si>
  <si>
    <t>Kévin</t>
  </si>
  <si>
    <t>Lucien</t>
  </si>
  <si>
    <t>Brothier</t>
  </si>
  <si>
    <t>Nelson</t>
  </si>
  <si>
    <t>Exaucé</t>
  </si>
  <si>
    <t>Total</t>
  </si>
  <si>
    <t>Nb des Jour avec 15 BA ou plus</t>
  </si>
  <si>
    <t>Type des BA</t>
  </si>
  <si>
    <t>Region</t>
  </si>
  <si>
    <t>Classiques</t>
  </si>
  <si>
    <t>Mercenaire</t>
  </si>
  <si>
    <t>Acquisition</t>
  </si>
  <si>
    <t>Cotonou</t>
  </si>
  <si>
    <t>Nord Est</t>
  </si>
  <si>
    <t>Atlantique</t>
  </si>
  <si>
    <t>Nord Ouest</t>
  </si>
  <si>
    <t>Sud Est</t>
  </si>
  <si>
    <t>Sud Ouest</t>
  </si>
  <si>
    <t># BA</t>
  </si>
  <si>
    <t>Target</t>
  </si>
  <si>
    <t>New Add</t>
  </si>
  <si>
    <t>% Attained</t>
  </si>
  <si>
    <t>Variable</t>
  </si>
  <si>
    <t>Type</t>
  </si>
  <si>
    <t>Paye</t>
  </si>
  <si>
    <t>Salaire Fixe</t>
  </si>
  <si>
    <t>Fixe</t>
  </si>
  <si>
    <t>Nb de BA Actif</t>
  </si>
  <si>
    <t>Prim sur activation(5frs)</t>
  </si>
  <si>
    <t>Variable 15 BA par Jour / 20jr</t>
  </si>
  <si>
    <t>Variable (Performance)</t>
  </si>
  <si>
    <t># Des BA Actif par Jour</t>
  </si>
  <si>
    <t>Description</t>
  </si>
  <si>
    <t>Montant</t>
  </si>
  <si>
    <t>Superviseur Mercenaire prime par New Add</t>
  </si>
  <si>
    <t>Prime 5f / New Add</t>
  </si>
  <si>
    <t>Récap Global:</t>
  </si>
  <si>
    <t>Récap Mercenaire seul:</t>
  </si>
  <si>
    <t>Nouvelle Condition New Add</t>
  </si>
  <si>
    <t>Tranche</t>
  </si>
  <si>
    <t>Entre 1-3</t>
  </si>
  <si>
    <t xml:space="preserve"> 4 Surplus </t>
  </si>
  <si>
    <t>A partir de 7</t>
  </si>
  <si>
    <t>Commission normale</t>
  </si>
  <si>
    <t>Commission supplémentaire</t>
  </si>
  <si>
    <t>+200</t>
  </si>
  <si>
    <t>+250</t>
  </si>
  <si>
    <t>Simulation</t>
  </si>
  <si>
    <t>Details</t>
  </si>
  <si>
    <t>Nombre des New Add</t>
  </si>
  <si>
    <t>Commission Normale</t>
  </si>
  <si>
    <t>Commission 4 supplémentaire</t>
  </si>
  <si>
    <t>Commission &gt;7</t>
  </si>
  <si>
    <t>Total commission sur 10 New Add</t>
  </si>
  <si>
    <t>Commission Superviseur</t>
  </si>
  <si>
    <t>Désignation</t>
  </si>
  <si>
    <t>Condition</t>
  </si>
  <si>
    <t>Prorata</t>
  </si>
  <si>
    <t xml:space="preserve">15 BA actifs  / 20jr </t>
  </si>
  <si>
    <t>Oui</t>
  </si>
  <si>
    <t>15 BA actifs par jour / 20jr</t>
  </si>
  <si>
    <t>Non</t>
  </si>
  <si>
    <t>Total Commission</t>
  </si>
  <si>
    <t>NB: Fixe additionnel (Reste de prorata à partager au reste des superviseurs)</t>
  </si>
  <si>
    <t>Commission BA Mercenaire</t>
  </si>
  <si>
    <t>Simulation sur 10/jr</t>
  </si>
  <si>
    <t>Simulation Mensuelle (25jr)</t>
  </si>
  <si>
    <t>Commission New Add</t>
  </si>
  <si>
    <t>Commission New data subscriber</t>
  </si>
  <si>
    <t>Commission MTN Hype</t>
  </si>
  <si>
    <t>Commission DTC</t>
  </si>
  <si>
    <t>Commission Supplémentaire 4 New Add</t>
  </si>
  <si>
    <t>Commission Supplémentaire &gt;7 New Add</t>
  </si>
  <si>
    <t>Transport &amp; Hébergement (Assurés)</t>
  </si>
  <si>
    <t>Superviseur BA Mercenaire</t>
  </si>
  <si>
    <t>Commentaire</t>
  </si>
  <si>
    <t>Variable Activation (5fr par activation)</t>
  </si>
  <si>
    <t>Simulation sur 10/Jr/BA</t>
  </si>
  <si>
    <t>NB: Possibilité de vendre et gagner comme un BA</t>
  </si>
  <si>
    <t>Numero MoMo</t>
  </si>
  <si>
    <t>Grand Total</t>
  </si>
  <si>
    <t>Crésus</t>
  </si>
  <si>
    <t>Oke Jerome</t>
  </si>
  <si>
    <t>Balodin Luc Gbetoho</t>
  </si>
  <si>
    <t>Cosme Sagbo</t>
  </si>
  <si>
    <t>Vincent De Paul</t>
  </si>
  <si>
    <t xml:space="preserve">Balodin Luc Gbetoho </t>
  </si>
  <si>
    <t xml:space="preserve">OKE JEROME </t>
  </si>
  <si>
    <t>Blocques par David</t>
  </si>
  <si>
    <t>Franck de Bassila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</si>
</sst>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0C]d\-mmm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41" fontId="0" fillId="0" borderId="0" xfId="1" applyFont="1"/>
    <xf numFmtId="0" fontId="2" fillId="0" borderId="0" xfId="0" applyFont="1"/>
    <xf numFmtId="0" fontId="2" fillId="2" borderId="0" xfId="0" applyFont="1" applyFill="1"/>
    <xf numFmtId="41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41" fontId="0" fillId="0" borderId="1" xfId="1" applyFont="1" applyBorder="1"/>
    <xf numFmtId="0" fontId="2" fillId="2" borderId="1" xfId="0" applyFont="1" applyFill="1" applyBorder="1"/>
    <xf numFmtId="9" fontId="0" fillId="0" borderId="1" xfId="2" applyFont="1" applyBorder="1"/>
    <xf numFmtId="164" fontId="2" fillId="2" borderId="1" xfId="0" applyNumberFormat="1" applyFont="1" applyFill="1" applyBorder="1" applyAlignment="1">
      <alignment vertical="center" wrapText="1"/>
    </xf>
    <xf numFmtId="41" fontId="0" fillId="0" borderId="1" xfId="0" applyNumberFormat="1" applyBorder="1"/>
    <xf numFmtId="41" fontId="2" fillId="2" borderId="1" xfId="1" applyFont="1" applyFill="1" applyBorder="1" applyAlignment="1">
      <alignment horizontal="left"/>
    </xf>
    <xf numFmtId="0" fontId="0" fillId="0" borderId="2" xfId="0" applyBorder="1"/>
    <xf numFmtId="0" fontId="2" fillId="0" borderId="2" xfId="0" applyFont="1" applyBorder="1"/>
    <xf numFmtId="41" fontId="2" fillId="0" borderId="2" xfId="0" applyNumberFormat="1" applyFont="1" applyBorder="1"/>
    <xf numFmtId="41" fontId="2" fillId="0" borderId="3" xfId="1" applyFont="1" applyFill="1" applyBorder="1"/>
    <xf numFmtId="41" fontId="2" fillId="0" borderId="3" xfId="1" applyFont="1" applyBorder="1"/>
    <xf numFmtId="0" fontId="2" fillId="3" borderId="1" xfId="0" applyFont="1" applyFill="1" applyBorder="1"/>
    <xf numFmtId="16" fontId="2" fillId="3" borderId="1" xfId="0" quotePrefix="1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1" fontId="2" fillId="0" borderId="2" xfId="1" applyFont="1" applyBorder="1"/>
    <xf numFmtId="0" fontId="2" fillId="3" borderId="0" xfId="0" applyFont="1" applyFill="1"/>
    <xf numFmtId="0" fontId="0" fillId="0" borderId="0" xfId="0" quotePrefix="1" applyAlignment="1">
      <alignment horizontal="right"/>
    </xf>
    <xf numFmtId="41" fontId="0" fillId="0" borderId="2" xfId="1" applyFont="1" applyBorder="1"/>
    <xf numFmtId="41" fontId="2" fillId="2" borderId="1" xfId="1" applyFont="1" applyFill="1" applyBorder="1" applyAlignment="1">
      <alignment horizontal="right"/>
    </xf>
    <xf numFmtId="0" fontId="0" fillId="0" borderId="0" xfId="0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left"/>
    </xf>
    <xf numFmtId="41" fontId="0" fillId="0" borderId="4" xfId="1" applyFont="1" applyFill="1" applyBorder="1"/>
    <xf numFmtId="0" fontId="3" fillId="4" borderId="0" xfId="0" applyFont="1" applyFill="1"/>
    <xf numFmtId="0" fontId="4" fillId="0" borderId="1" xfId="0" applyFont="1" applyBorder="1"/>
    <xf numFmtId="4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E4B6-9151-496E-9A4B-3F2561939169}">
  <dimension ref="C2:F17"/>
  <sheetViews>
    <sheetView showGridLines="0" workbookViewId="0">
      <selection activeCell="F26" sqref="F26"/>
    </sheetView>
  </sheetViews>
  <sheetFormatPr defaultRowHeight="14.4" x14ac:dyDescent="0.3"/>
  <cols>
    <col min="3" max="3" width="37" customWidth="1"/>
    <col min="4" max="4" width="13.109375" customWidth="1"/>
    <col min="6" max="6" width="19.109375" customWidth="1"/>
  </cols>
  <sheetData>
    <row r="2" spans="3:6" x14ac:dyDescent="0.3">
      <c r="C2" s="2" t="s">
        <v>67</v>
      </c>
    </row>
    <row r="3" spans="3:6" x14ac:dyDescent="0.3">
      <c r="C3" s="14" t="s">
        <v>63</v>
      </c>
      <c r="D3" s="14" t="s">
        <v>64</v>
      </c>
    </row>
    <row r="4" spans="3:6" x14ac:dyDescent="0.3">
      <c r="C4" t="s">
        <v>57</v>
      </c>
      <c r="D4" s="4">
        <f>Fixe!G1</f>
        <v>1445333.3333333333</v>
      </c>
    </row>
    <row r="5" spans="3:6" x14ac:dyDescent="0.3">
      <c r="C5" t="s">
        <v>61</v>
      </c>
      <c r="D5" s="4">
        <f>'Variable (Performance)'!J1</f>
        <v>838162.39316239336</v>
      </c>
    </row>
    <row r="6" spans="3:6" x14ac:dyDescent="0.3">
      <c r="C6" t="s">
        <v>60</v>
      </c>
      <c r="D6" s="4">
        <f>'Variable 15 BA par Jour'!AK2</f>
        <v>20000</v>
      </c>
    </row>
    <row r="7" spans="3:6" x14ac:dyDescent="0.3">
      <c r="C7" t="s">
        <v>65</v>
      </c>
      <c r="D7" s="4">
        <f>'Superviseur Mercenaire prim NA'!G2</f>
        <v>76860</v>
      </c>
    </row>
    <row r="8" spans="3:6" ht="15" thickBot="1" x14ac:dyDescent="0.35">
      <c r="C8" s="16" t="s">
        <v>36</v>
      </c>
      <c r="D8" s="17">
        <f>SUM(D4:D7)</f>
        <v>2380355.7264957265</v>
      </c>
    </row>
    <row r="9" spans="3:6" ht="15" thickTop="1" x14ac:dyDescent="0.3"/>
    <row r="11" spans="3:6" x14ac:dyDescent="0.3">
      <c r="C11" s="2" t="s">
        <v>68</v>
      </c>
    </row>
    <row r="12" spans="3:6" x14ac:dyDescent="0.3">
      <c r="C12" s="14" t="s">
        <v>0</v>
      </c>
      <c r="D12" s="14" t="s">
        <v>57</v>
      </c>
      <c r="E12" s="14" t="s">
        <v>53</v>
      </c>
      <c r="F12" s="30" t="s">
        <v>66</v>
      </c>
    </row>
    <row r="13" spans="3:6" x14ac:dyDescent="0.3">
      <c r="C13" s="9" t="s">
        <v>7</v>
      </c>
      <c r="D13" s="9">
        <v>60000</v>
      </c>
      <c r="E13" s="9">
        <v>50000</v>
      </c>
      <c r="F13" s="9">
        <f>'Superviseur Mercenaire prim NA'!G4</f>
        <v>11545</v>
      </c>
    </row>
    <row r="14" spans="3:6" x14ac:dyDescent="0.3">
      <c r="C14" s="9" t="s">
        <v>6</v>
      </c>
      <c r="D14" s="9">
        <v>60000</v>
      </c>
      <c r="E14" s="9">
        <v>50000</v>
      </c>
      <c r="F14" s="9">
        <f>'Superviseur Mercenaire prim NA'!G5</f>
        <v>28790</v>
      </c>
    </row>
    <row r="15" spans="3:6" x14ac:dyDescent="0.3">
      <c r="C15" s="9" t="s">
        <v>2</v>
      </c>
      <c r="D15" s="9">
        <v>60000</v>
      </c>
      <c r="E15" s="9">
        <v>50000</v>
      </c>
      <c r="F15" s="9">
        <f>'Superviseur Mercenaire prim NA'!G6</f>
        <v>36525</v>
      </c>
    </row>
    <row r="16" spans="3:6" ht="15" thickBot="1" x14ac:dyDescent="0.35">
      <c r="C16" s="18" t="s">
        <v>36</v>
      </c>
      <c r="D16" s="19">
        <f>SUM(D13:D15)</f>
        <v>180000</v>
      </c>
      <c r="E16" s="19">
        <f t="shared" ref="E16:F16" si="0">SUM(E13:E15)</f>
        <v>150000</v>
      </c>
      <c r="F16" s="19">
        <f t="shared" si="0"/>
        <v>76860</v>
      </c>
    </row>
    <row r="17" spans="3:6" ht="15.6" thickTop="1" thickBot="1" x14ac:dyDescent="0.35">
      <c r="C17" s="34" t="s">
        <v>111</v>
      </c>
      <c r="D17" s="37">
        <f>SUM(D16:F16)</f>
        <v>406860</v>
      </c>
      <c r="E17" s="38"/>
      <c r="F17" s="38"/>
    </row>
  </sheetData>
  <mergeCells count="1">
    <mergeCell ref="D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C06E-59B4-46B3-9C40-9B242C6B8E68}">
  <dimension ref="B1:G42"/>
  <sheetViews>
    <sheetView showGridLines="0" topLeftCell="A13" workbookViewId="0">
      <selection activeCell="C38" sqref="C38"/>
    </sheetView>
  </sheetViews>
  <sheetFormatPr defaultRowHeight="14.4" x14ac:dyDescent="0.3"/>
  <cols>
    <col min="2" max="2" width="23" customWidth="1"/>
    <col min="3" max="3" width="17.88671875" customWidth="1"/>
    <col min="4" max="4" width="12.44140625" customWidth="1"/>
    <col min="5" max="5" width="12.5546875" customWidth="1"/>
    <col min="6" max="6" width="8.88671875" style="31"/>
    <col min="7" max="7" width="17.6640625" customWidth="1"/>
  </cols>
  <sheetData>
    <row r="1" spans="2:7" x14ac:dyDescent="0.3">
      <c r="G1" s="1">
        <f>SUBTOTAL(109,G3:G39)</f>
        <v>1445333.3333333333</v>
      </c>
    </row>
    <row r="2" spans="2:7" x14ac:dyDescent="0.3">
      <c r="B2" s="10" t="s">
        <v>0</v>
      </c>
      <c r="C2" s="10" t="s">
        <v>110</v>
      </c>
      <c r="D2" s="10" t="s">
        <v>54</v>
      </c>
      <c r="E2" s="10" t="s">
        <v>39</v>
      </c>
      <c r="F2" s="6" t="s">
        <v>49</v>
      </c>
      <c r="G2" s="10" t="s">
        <v>56</v>
      </c>
    </row>
    <row r="3" spans="2:7" x14ac:dyDescent="0.3">
      <c r="B3" s="8" t="s">
        <v>12</v>
      </c>
      <c r="C3" s="33">
        <v>2290166834386</v>
      </c>
      <c r="D3" s="8" t="s">
        <v>40</v>
      </c>
      <c r="E3" s="8" t="s">
        <v>43</v>
      </c>
      <c r="F3" s="24">
        <v>26</v>
      </c>
      <c r="G3" s="9">
        <f>IF(F3&gt;=15,40000,(F3/15)*40000)</f>
        <v>40000</v>
      </c>
    </row>
    <row r="4" spans="2:7" x14ac:dyDescent="0.3">
      <c r="B4" s="8" t="s">
        <v>22</v>
      </c>
      <c r="C4" s="33">
        <v>2290166118790</v>
      </c>
      <c r="D4" s="8" t="s">
        <v>42</v>
      </c>
      <c r="E4" s="8" t="s">
        <v>43</v>
      </c>
      <c r="F4" s="24">
        <v>16</v>
      </c>
      <c r="G4" s="9">
        <f t="shared" ref="G4:G42" si="0">IF(F4&gt;=15,40000,(F4/15)*40000)</f>
        <v>40000</v>
      </c>
    </row>
    <row r="5" spans="2:7" x14ac:dyDescent="0.3">
      <c r="B5" s="8" t="s">
        <v>30</v>
      </c>
      <c r="C5" s="33">
        <v>2290151111169</v>
      </c>
      <c r="D5" s="8" t="s">
        <v>42</v>
      </c>
      <c r="E5" s="8" t="s">
        <v>47</v>
      </c>
      <c r="F5" s="24">
        <v>11</v>
      </c>
      <c r="G5" s="9">
        <f t="shared" si="0"/>
        <v>29333.333333333332</v>
      </c>
    </row>
    <row r="6" spans="2:7" x14ac:dyDescent="0.3">
      <c r="B6" s="8" t="s">
        <v>11</v>
      </c>
      <c r="C6" s="33">
        <v>2290197740321</v>
      </c>
      <c r="D6" s="8" t="s">
        <v>42</v>
      </c>
      <c r="E6" s="8" t="s">
        <v>45</v>
      </c>
      <c r="F6" s="24">
        <v>31</v>
      </c>
      <c r="G6" s="9">
        <f t="shared" si="0"/>
        <v>40000</v>
      </c>
    </row>
    <row r="7" spans="2:7" x14ac:dyDescent="0.3">
      <c r="B7" s="8" t="s">
        <v>20</v>
      </c>
      <c r="C7" s="33">
        <v>2290196366292</v>
      </c>
      <c r="D7" s="8" t="s">
        <v>42</v>
      </c>
      <c r="E7" s="8" t="s">
        <v>45</v>
      </c>
      <c r="F7" s="24">
        <v>23</v>
      </c>
      <c r="G7" s="9">
        <f t="shared" si="0"/>
        <v>40000</v>
      </c>
    </row>
    <row r="8" spans="2:7" x14ac:dyDescent="0.3">
      <c r="B8" s="8" t="s">
        <v>1</v>
      </c>
      <c r="C8" s="33">
        <v>2290166508084</v>
      </c>
      <c r="D8" s="8" t="s">
        <v>42</v>
      </c>
      <c r="E8" s="8" t="s">
        <v>43</v>
      </c>
      <c r="F8" s="24">
        <v>66</v>
      </c>
      <c r="G8" s="9">
        <f t="shared" si="0"/>
        <v>40000</v>
      </c>
    </row>
    <row r="9" spans="2:7" x14ac:dyDescent="0.3">
      <c r="B9" s="8" t="s">
        <v>33</v>
      </c>
      <c r="C9" s="33">
        <v>2290154814915</v>
      </c>
      <c r="D9" s="8" t="s">
        <v>42</v>
      </c>
      <c r="E9" s="8" t="s">
        <v>45</v>
      </c>
      <c r="F9" s="24">
        <v>15</v>
      </c>
      <c r="G9" s="9">
        <f t="shared" si="0"/>
        <v>40000</v>
      </c>
    </row>
    <row r="10" spans="2:7" x14ac:dyDescent="0.3">
      <c r="B10" s="8" t="s">
        <v>29</v>
      </c>
      <c r="C10" s="33">
        <v>2290196500201</v>
      </c>
      <c r="D10" s="8" t="s">
        <v>40</v>
      </c>
      <c r="E10" s="8" t="s">
        <v>43</v>
      </c>
      <c r="F10" s="24">
        <v>14</v>
      </c>
      <c r="G10" s="9">
        <f t="shared" si="0"/>
        <v>37333.333333333336</v>
      </c>
    </row>
    <row r="11" spans="2:7" x14ac:dyDescent="0.3">
      <c r="B11" s="8" t="s">
        <v>115</v>
      </c>
      <c r="C11" s="33">
        <v>2290167841894</v>
      </c>
      <c r="D11" s="8" t="s">
        <v>42</v>
      </c>
      <c r="E11" s="8" t="s">
        <v>45</v>
      </c>
      <c r="F11" s="24">
        <v>17</v>
      </c>
      <c r="G11" s="9">
        <f t="shared" si="0"/>
        <v>40000</v>
      </c>
    </row>
    <row r="12" spans="2:7" x14ac:dyDescent="0.3">
      <c r="B12" s="8" t="s">
        <v>112</v>
      </c>
      <c r="C12" s="33">
        <v>2290153508662</v>
      </c>
      <c r="D12" s="8" t="s">
        <v>42</v>
      </c>
      <c r="E12" s="8" t="s">
        <v>48</v>
      </c>
      <c r="F12" s="24">
        <v>30</v>
      </c>
      <c r="G12" s="9">
        <f t="shared" si="0"/>
        <v>40000</v>
      </c>
    </row>
    <row r="13" spans="2:7" x14ac:dyDescent="0.3">
      <c r="B13" s="8" t="s">
        <v>14</v>
      </c>
      <c r="C13" s="33">
        <v>2290166890732</v>
      </c>
      <c r="D13" s="8" t="s">
        <v>42</v>
      </c>
      <c r="E13" s="8" t="s">
        <v>45</v>
      </c>
      <c r="F13" s="24">
        <v>25</v>
      </c>
      <c r="G13" s="9">
        <f t="shared" si="0"/>
        <v>40000</v>
      </c>
    </row>
    <row r="14" spans="2:7" x14ac:dyDescent="0.3">
      <c r="B14" s="8" t="s">
        <v>15</v>
      </c>
      <c r="C14" s="33">
        <v>2290161516161</v>
      </c>
      <c r="D14" s="8" t="s">
        <v>42</v>
      </c>
      <c r="E14" s="8" t="s">
        <v>47</v>
      </c>
      <c r="F14" s="24">
        <v>23</v>
      </c>
      <c r="G14" s="9">
        <f t="shared" si="0"/>
        <v>40000</v>
      </c>
    </row>
    <row r="15" spans="2:7" x14ac:dyDescent="0.3">
      <c r="B15" s="8" t="s">
        <v>5</v>
      </c>
      <c r="C15" s="33">
        <v>2290191358663</v>
      </c>
      <c r="D15" s="8" t="s">
        <v>40</v>
      </c>
      <c r="E15" s="8" t="s">
        <v>44</v>
      </c>
      <c r="F15" s="24">
        <v>44</v>
      </c>
      <c r="G15" s="9">
        <f t="shared" si="0"/>
        <v>40000</v>
      </c>
    </row>
    <row r="16" spans="2:7" x14ac:dyDescent="0.3">
      <c r="B16" s="8" t="s">
        <v>35</v>
      </c>
      <c r="C16" s="33">
        <v>2290196403186</v>
      </c>
      <c r="D16" s="8" t="s">
        <v>42</v>
      </c>
      <c r="E16" s="8" t="s">
        <v>43</v>
      </c>
      <c r="F16" s="24">
        <v>4</v>
      </c>
      <c r="G16" s="9">
        <f t="shared" si="0"/>
        <v>10666.666666666666</v>
      </c>
    </row>
    <row r="17" spans="2:7" x14ac:dyDescent="0.3">
      <c r="B17" s="8" t="s">
        <v>10</v>
      </c>
      <c r="C17" s="33">
        <v>2290196262480</v>
      </c>
      <c r="D17" s="8" t="s">
        <v>42</v>
      </c>
      <c r="E17" s="8" t="s">
        <v>45</v>
      </c>
      <c r="F17" s="24">
        <v>30</v>
      </c>
      <c r="G17" s="9">
        <f t="shared" si="0"/>
        <v>40000</v>
      </c>
    </row>
    <row r="18" spans="2:7" x14ac:dyDescent="0.3">
      <c r="B18" s="8" t="s">
        <v>3</v>
      </c>
      <c r="C18" s="33">
        <v>2290167401881</v>
      </c>
      <c r="D18" s="8" t="s">
        <v>40</v>
      </c>
      <c r="E18" s="8" t="s">
        <v>44</v>
      </c>
      <c r="F18" s="24">
        <v>51</v>
      </c>
      <c r="G18" s="9">
        <f t="shared" si="0"/>
        <v>40000</v>
      </c>
    </row>
    <row r="19" spans="2:7" x14ac:dyDescent="0.3">
      <c r="B19" s="8" t="s">
        <v>8</v>
      </c>
      <c r="C19" s="33">
        <v>2290197065391</v>
      </c>
      <c r="D19" s="8" t="s">
        <v>42</v>
      </c>
      <c r="E19" s="8" t="s">
        <v>45</v>
      </c>
      <c r="F19" s="24">
        <v>36</v>
      </c>
      <c r="G19" s="9">
        <f t="shared" si="0"/>
        <v>40000</v>
      </c>
    </row>
    <row r="20" spans="2:7" x14ac:dyDescent="0.3">
      <c r="B20" s="8" t="s">
        <v>9</v>
      </c>
      <c r="C20" s="33">
        <v>2290197669754</v>
      </c>
      <c r="D20" s="8" t="s">
        <v>42</v>
      </c>
      <c r="E20" s="8" t="s">
        <v>45</v>
      </c>
      <c r="F20" s="24">
        <v>28</v>
      </c>
      <c r="G20" s="9">
        <f t="shared" si="0"/>
        <v>40000</v>
      </c>
    </row>
    <row r="21" spans="2:7" x14ac:dyDescent="0.3">
      <c r="B21" s="8" t="s">
        <v>27</v>
      </c>
      <c r="C21" s="33">
        <v>2290167365568</v>
      </c>
      <c r="D21" s="8" t="s">
        <v>42</v>
      </c>
      <c r="E21" s="8" t="s">
        <v>43</v>
      </c>
      <c r="F21" s="24">
        <v>18</v>
      </c>
      <c r="G21" s="9">
        <f t="shared" si="0"/>
        <v>40000</v>
      </c>
    </row>
    <row r="22" spans="2:7" x14ac:dyDescent="0.3">
      <c r="B22" s="8" t="s">
        <v>31</v>
      </c>
      <c r="C22" s="33">
        <v>2290161598514</v>
      </c>
      <c r="D22" s="8" t="s">
        <v>42</v>
      </c>
      <c r="E22" s="8" t="s">
        <v>43</v>
      </c>
      <c r="F22" s="24">
        <v>13</v>
      </c>
      <c r="G22" s="9">
        <f t="shared" si="0"/>
        <v>34666.666666666664</v>
      </c>
    </row>
    <row r="23" spans="2:7" x14ac:dyDescent="0.3">
      <c r="B23" s="8" t="s">
        <v>13</v>
      </c>
      <c r="C23" s="33">
        <v>2290191864959</v>
      </c>
      <c r="D23" s="8" t="s">
        <v>42</v>
      </c>
      <c r="E23" s="8" t="s">
        <v>46</v>
      </c>
      <c r="F23" s="24">
        <v>29</v>
      </c>
      <c r="G23" s="9">
        <f t="shared" si="0"/>
        <v>40000</v>
      </c>
    </row>
    <row r="24" spans="2:7" x14ac:dyDescent="0.3">
      <c r="B24" s="8" t="s">
        <v>32</v>
      </c>
      <c r="C24" s="33">
        <v>2290191190453</v>
      </c>
      <c r="D24" s="8" t="s">
        <v>40</v>
      </c>
      <c r="E24" s="8" t="s">
        <v>46</v>
      </c>
      <c r="F24" s="24">
        <v>16</v>
      </c>
      <c r="G24" s="9">
        <f t="shared" si="0"/>
        <v>40000</v>
      </c>
    </row>
    <row r="25" spans="2:7" x14ac:dyDescent="0.3">
      <c r="B25" s="8" t="s">
        <v>4</v>
      </c>
      <c r="C25" s="33">
        <v>2290162246441</v>
      </c>
      <c r="D25" s="8" t="s">
        <v>42</v>
      </c>
      <c r="E25" s="8" t="s">
        <v>45</v>
      </c>
      <c r="F25" s="24">
        <v>44</v>
      </c>
      <c r="G25" s="9">
        <f t="shared" si="0"/>
        <v>40000</v>
      </c>
    </row>
    <row r="26" spans="2:7" x14ac:dyDescent="0.3">
      <c r="B26" s="8" t="s">
        <v>23</v>
      </c>
      <c r="C26" s="33">
        <v>2290161726747</v>
      </c>
      <c r="D26" s="8" t="s">
        <v>42</v>
      </c>
      <c r="E26" s="8" t="s">
        <v>43</v>
      </c>
      <c r="F26" s="24">
        <v>20</v>
      </c>
      <c r="G26" s="9">
        <f t="shared" si="0"/>
        <v>40000</v>
      </c>
    </row>
    <row r="27" spans="2:7" x14ac:dyDescent="0.3">
      <c r="B27" s="8" t="s">
        <v>34</v>
      </c>
      <c r="C27" s="33">
        <v>2290197291461</v>
      </c>
      <c r="D27" s="8" t="s">
        <v>40</v>
      </c>
      <c r="E27" s="8" t="s">
        <v>44</v>
      </c>
      <c r="F27" s="24">
        <v>11</v>
      </c>
      <c r="G27" s="9">
        <f t="shared" si="0"/>
        <v>29333.333333333332</v>
      </c>
    </row>
    <row r="28" spans="2:7" x14ac:dyDescent="0.3">
      <c r="B28" s="8" t="s">
        <v>118</v>
      </c>
      <c r="C28" s="33">
        <v>2290167365568</v>
      </c>
      <c r="D28" s="8" t="s">
        <v>42</v>
      </c>
      <c r="E28" s="8" t="s">
        <v>43</v>
      </c>
      <c r="F28" s="24">
        <v>10</v>
      </c>
      <c r="G28" s="9">
        <f t="shared" si="0"/>
        <v>26666.666666666664</v>
      </c>
    </row>
    <row r="29" spans="2:7" x14ac:dyDescent="0.3">
      <c r="B29" s="8" t="s">
        <v>18</v>
      </c>
      <c r="C29" s="33">
        <v>2290197404957</v>
      </c>
      <c r="D29" s="8" t="s">
        <v>40</v>
      </c>
      <c r="E29" s="8" t="s">
        <v>48</v>
      </c>
      <c r="F29" s="24">
        <v>23</v>
      </c>
      <c r="G29" s="9">
        <f t="shared" si="0"/>
        <v>40000</v>
      </c>
    </row>
    <row r="30" spans="2:7" x14ac:dyDescent="0.3">
      <c r="B30" s="8" t="s">
        <v>24</v>
      </c>
      <c r="C30" s="33">
        <v>2290167705700</v>
      </c>
      <c r="D30" s="8" t="s">
        <v>40</v>
      </c>
      <c r="E30" s="8" t="s">
        <v>48</v>
      </c>
      <c r="F30" s="24">
        <v>17</v>
      </c>
      <c r="G30" s="9">
        <f t="shared" si="0"/>
        <v>40000</v>
      </c>
    </row>
    <row r="31" spans="2:7" x14ac:dyDescent="0.3">
      <c r="B31" s="8" t="s">
        <v>17</v>
      </c>
      <c r="C31" s="33">
        <v>2290166017887</v>
      </c>
      <c r="D31" s="8" t="s">
        <v>42</v>
      </c>
      <c r="E31" s="8" t="s">
        <v>47</v>
      </c>
      <c r="F31" s="24">
        <v>29</v>
      </c>
      <c r="G31" s="9">
        <f t="shared" si="0"/>
        <v>40000</v>
      </c>
    </row>
    <row r="32" spans="2:7" x14ac:dyDescent="0.3">
      <c r="B32" s="8" t="s">
        <v>25</v>
      </c>
      <c r="C32" s="33">
        <v>2290197908749</v>
      </c>
      <c r="D32" s="8" t="s">
        <v>42</v>
      </c>
      <c r="E32" s="8" t="s">
        <v>48</v>
      </c>
      <c r="F32" s="24">
        <v>22</v>
      </c>
      <c r="G32" s="9">
        <f t="shared" si="0"/>
        <v>40000</v>
      </c>
    </row>
    <row r="33" spans="2:7" x14ac:dyDescent="0.3">
      <c r="B33" s="8" t="s">
        <v>16</v>
      </c>
      <c r="C33" s="33">
        <v>2290166850411</v>
      </c>
      <c r="D33" s="8" t="s">
        <v>40</v>
      </c>
      <c r="E33" s="8" t="s">
        <v>44</v>
      </c>
      <c r="F33" s="24">
        <v>26</v>
      </c>
      <c r="G33" s="9">
        <f t="shared" si="0"/>
        <v>40000</v>
      </c>
    </row>
    <row r="34" spans="2:7" x14ac:dyDescent="0.3">
      <c r="B34" s="8" t="s">
        <v>28</v>
      </c>
      <c r="C34" s="33">
        <v>2290166583033</v>
      </c>
      <c r="D34" s="8" t="s">
        <v>42</v>
      </c>
      <c r="E34" s="8" t="s">
        <v>47</v>
      </c>
      <c r="F34" s="24">
        <v>14</v>
      </c>
      <c r="G34" s="9">
        <f t="shared" si="0"/>
        <v>37333.333333333336</v>
      </c>
    </row>
    <row r="35" spans="2:7" x14ac:dyDescent="0.3">
      <c r="B35" s="8" t="s">
        <v>7</v>
      </c>
      <c r="C35" s="33">
        <v>2290191699169</v>
      </c>
      <c r="D35" s="8" t="s">
        <v>42</v>
      </c>
      <c r="E35" s="8" t="s">
        <v>41</v>
      </c>
      <c r="F35" s="24">
        <v>38</v>
      </c>
      <c r="G35" s="9">
        <v>60000</v>
      </c>
    </row>
    <row r="36" spans="2:7" x14ac:dyDescent="0.3">
      <c r="B36" s="8" t="s">
        <v>6</v>
      </c>
      <c r="C36" s="33">
        <v>2290161255497</v>
      </c>
      <c r="D36" s="8" t="s">
        <v>42</v>
      </c>
      <c r="E36" s="8" t="s">
        <v>41</v>
      </c>
      <c r="F36" s="24">
        <v>33</v>
      </c>
      <c r="G36" s="9">
        <v>60000</v>
      </c>
    </row>
    <row r="37" spans="2:7" x14ac:dyDescent="0.3">
      <c r="B37" s="8" t="s">
        <v>19</v>
      </c>
      <c r="C37" s="33">
        <v>2290190911414</v>
      </c>
      <c r="D37" s="8" t="s">
        <v>42</v>
      </c>
      <c r="E37" s="8" t="s">
        <v>48</v>
      </c>
      <c r="F37" s="24">
        <v>21</v>
      </c>
      <c r="G37" s="9">
        <f t="shared" si="0"/>
        <v>40000</v>
      </c>
    </row>
    <row r="38" spans="2:7" x14ac:dyDescent="0.3">
      <c r="B38" s="8" t="s">
        <v>120</v>
      </c>
      <c r="C38" s="33">
        <v>2290146039832</v>
      </c>
      <c r="D38" s="8" t="s">
        <v>42</v>
      </c>
      <c r="E38" s="8" t="s">
        <v>46</v>
      </c>
      <c r="F38" s="24">
        <v>23</v>
      </c>
      <c r="G38" s="9">
        <f t="shared" si="0"/>
        <v>40000</v>
      </c>
    </row>
    <row r="39" spans="2:7" x14ac:dyDescent="0.3">
      <c r="B39" s="8" t="s">
        <v>21</v>
      </c>
      <c r="C39" s="33">
        <v>2290191676808</v>
      </c>
      <c r="D39" s="8" t="s">
        <v>42</v>
      </c>
      <c r="E39" s="8" t="s">
        <v>46</v>
      </c>
      <c r="F39" s="24">
        <v>26</v>
      </c>
      <c r="G39" s="9">
        <f t="shared" si="0"/>
        <v>40000</v>
      </c>
    </row>
    <row r="40" spans="2:7" x14ac:dyDescent="0.3">
      <c r="B40" s="8" t="s">
        <v>26</v>
      </c>
      <c r="C40" s="33">
        <v>2290196262368</v>
      </c>
      <c r="D40" s="8" t="s">
        <v>42</v>
      </c>
      <c r="E40" s="8" t="s">
        <v>45</v>
      </c>
      <c r="F40" s="24">
        <v>14</v>
      </c>
      <c r="G40" s="9">
        <f t="shared" si="0"/>
        <v>37333.333333333336</v>
      </c>
    </row>
    <row r="41" spans="2:7" x14ac:dyDescent="0.3">
      <c r="B41" s="8" t="s">
        <v>116</v>
      </c>
      <c r="C41" s="33">
        <v>2290197017276</v>
      </c>
      <c r="D41" s="8" t="s">
        <v>42</v>
      </c>
      <c r="E41" s="8" t="s">
        <v>41</v>
      </c>
      <c r="F41" s="24">
        <v>52</v>
      </c>
      <c r="G41" s="9">
        <v>60000</v>
      </c>
    </row>
    <row r="42" spans="2:7" x14ac:dyDescent="0.3">
      <c r="B42" s="8" t="s">
        <v>117</v>
      </c>
      <c r="C42" s="33">
        <v>2290166095937</v>
      </c>
      <c r="D42" s="8" t="s">
        <v>42</v>
      </c>
      <c r="E42" s="8" t="s">
        <v>44</v>
      </c>
      <c r="F42" s="24">
        <v>30</v>
      </c>
      <c r="G42" s="9">
        <f t="shared" si="0"/>
        <v>40000</v>
      </c>
    </row>
  </sheetData>
  <autoFilter ref="B2:G42" xr:uid="{9984C06E-59B4-46B3-9C40-9B242C6B8E6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5877-BDEB-4B2E-B12F-4A474AD56BF7}">
  <dimension ref="B1:K42"/>
  <sheetViews>
    <sheetView showGridLines="0" topLeftCell="A13" workbookViewId="0">
      <selection activeCell="C38" sqref="C38"/>
    </sheetView>
  </sheetViews>
  <sheetFormatPr defaultRowHeight="14.4" x14ac:dyDescent="0.3"/>
  <cols>
    <col min="2" max="2" width="22.33203125" customWidth="1"/>
    <col min="3" max="3" width="18.6640625" customWidth="1"/>
    <col min="4" max="4" width="12.5546875" customWidth="1"/>
    <col min="5" max="5" width="12.21875" customWidth="1"/>
    <col min="6" max="6" width="10.109375" customWidth="1"/>
    <col min="7" max="8" width="12.21875" customWidth="1"/>
    <col min="9" max="9" width="12.44140625" customWidth="1"/>
    <col min="10" max="10" width="12.77734375" customWidth="1"/>
    <col min="11" max="11" width="16.33203125" bestFit="1" customWidth="1"/>
  </cols>
  <sheetData>
    <row r="1" spans="2:11" x14ac:dyDescent="0.3">
      <c r="H1" s="1">
        <f>SUBTOTAL(109,H3:H41)</f>
        <v>49830</v>
      </c>
      <c r="I1" s="1"/>
      <c r="J1" s="1">
        <f>SUBTOTAL(109,J3:J42)</f>
        <v>838162.39316239336</v>
      </c>
    </row>
    <row r="2" spans="2:11" x14ac:dyDescent="0.3">
      <c r="B2" s="10" t="s">
        <v>0</v>
      </c>
      <c r="C2" s="10" t="s">
        <v>110</v>
      </c>
      <c r="D2" s="10" t="s">
        <v>54</v>
      </c>
      <c r="E2" s="10" t="s">
        <v>39</v>
      </c>
      <c r="F2" s="10" t="s">
        <v>49</v>
      </c>
      <c r="G2" s="10" t="s">
        <v>50</v>
      </c>
      <c r="H2" s="10" t="s">
        <v>51</v>
      </c>
      <c r="I2" s="10" t="s">
        <v>52</v>
      </c>
      <c r="J2" s="10" t="s">
        <v>53</v>
      </c>
      <c r="K2" s="10" t="s">
        <v>106</v>
      </c>
    </row>
    <row r="3" spans="2:11" x14ac:dyDescent="0.3">
      <c r="B3" s="8" t="s">
        <v>12</v>
      </c>
      <c r="C3" s="33">
        <v>2290166834386</v>
      </c>
      <c r="D3" s="8" t="s">
        <v>40</v>
      </c>
      <c r="E3" s="8" t="s">
        <v>43</v>
      </c>
      <c r="F3" s="8">
        <v>26</v>
      </c>
      <c r="G3" s="8">
        <v>2340</v>
      </c>
      <c r="H3" s="8">
        <v>1247</v>
      </c>
      <c r="I3" s="11">
        <f>H3/G3</f>
        <v>0.5329059829059829</v>
      </c>
      <c r="J3" s="9">
        <f>IF(I3&gt;=100%,50000,I3*50000)</f>
        <v>26645.299145299145</v>
      </c>
      <c r="K3" s="8"/>
    </row>
    <row r="4" spans="2:11" x14ac:dyDescent="0.3">
      <c r="B4" s="8" t="s">
        <v>22</v>
      </c>
      <c r="C4" s="33">
        <v>2290166118790</v>
      </c>
      <c r="D4" s="8" t="s">
        <v>42</v>
      </c>
      <c r="E4" s="8" t="s">
        <v>43</v>
      </c>
      <c r="F4" s="8">
        <v>16</v>
      </c>
      <c r="G4" s="8">
        <v>2340</v>
      </c>
      <c r="H4" s="8">
        <v>635</v>
      </c>
      <c r="I4" s="11">
        <f t="shared" ref="I4:I42" si="0">H4/G4</f>
        <v>0.27136752136752135</v>
      </c>
      <c r="J4" s="9">
        <f t="shared" ref="J4:J42" si="1">IF(I4&gt;=100%,50000,I4*50000)</f>
        <v>13568.376068376067</v>
      </c>
      <c r="K4" s="8"/>
    </row>
    <row r="5" spans="2:11" x14ac:dyDescent="0.3">
      <c r="B5" s="8" t="s">
        <v>30</v>
      </c>
      <c r="C5" s="33">
        <v>2290151111169</v>
      </c>
      <c r="D5" s="8" t="s">
        <v>42</v>
      </c>
      <c r="E5" s="8" t="s">
        <v>47</v>
      </c>
      <c r="F5" s="8">
        <v>11</v>
      </c>
      <c r="G5" s="8">
        <v>2340</v>
      </c>
      <c r="H5" s="8">
        <v>323</v>
      </c>
      <c r="I5" s="11">
        <f t="shared" si="0"/>
        <v>0.13803418803418804</v>
      </c>
      <c r="J5" s="9">
        <f t="shared" si="1"/>
        <v>6901.7094017094023</v>
      </c>
      <c r="K5" s="36" t="s">
        <v>119</v>
      </c>
    </row>
    <row r="6" spans="2:11" x14ac:dyDescent="0.3">
      <c r="B6" s="8" t="s">
        <v>11</v>
      </c>
      <c r="C6" s="33">
        <v>2290197740321</v>
      </c>
      <c r="D6" s="8" t="s">
        <v>42</v>
      </c>
      <c r="E6" s="8" t="s">
        <v>45</v>
      </c>
      <c r="F6" s="8">
        <v>31</v>
      </c>
      <c r="G6" s="8">
        <v>2340</v>
      </c>
      <c r="H6" s="8">
        <v>896</v>
      </c>
      <c r="I6" s="11">
        <f t="shared" si="0"/>
        <v>0.38290598290598293</v>
      </c>
      <c r="J6" s="9">
        <f t="shared" si="1"/>
        <v>19145.299145299148</v>
      </c>
      <c r="K6" s="8"/>
    </row>
    <row r="7" spans="2:11" x14ac:dyDescent="0.3">
      <c r="B7" s="8" t="s">
        <v>20</v>
      </c>
      <c r="C7" s="33">
        <v>2290196366292</v>
      </c>
      <c r="D7" s="8" t="s">
        <v>42</v>
      </c>
      <c r="E7" s="8" t="s">
        <v>45</v>
      </c>
      <c r="F7" s="8">
        <v>23</v>
      </c>
      <c r="G7" s="8">
        <v>2340</v>
      </c>
      <c r="H7" s="8">
        <v>532</v>
      </c>
      <c r="I7" s="11">
        <f t="shared" si="0"/>
        <v>0.22735042735042735</v>
      </c>
      <c r="J7" s="9">
        <f t="shared" si="1"/>
        <v>11367.521367521367</v>
      </c>
      <c r="K7" s="8"/>
    </row>
    <row r="8" spans="2:11" x14ac:dyDescent="0.3">
      <c r="B8" s="8" t="s">
        <v>1</v>
      </c>
      <c r="C8" s="33">
        <v>2290166508084</v>
      </c>
      <c r="D8" s="8" t="s">
        <v>42</v>
      </c>
      <c r="E8" s="8" t="s">
        <v>43</v>
      </c>
      <c r="F8" s="8">
        <v>66</v>
      </c>
      <c r="G8" s="8">
        <v>2340</v>
      </c>
      <c r="H8" s="8">
        <v>3588</v>
      </c>
      <c r="I8" s="11">
        <f t="shared" si="0"/>
        <v>1.5333333333333334</v>
      </c>
      <c r="J8" s="9">
        <f t="shared" si="1"/>
        <v>50000</v>
      </c>
      <c r="K8" s="8"/>
    </row>
    <row r="9" spans="2:11" x14ac:dyDescent="0.3">
      <c r="B9" s="8" t="s">
        <v>33</v>
      </c>
      <c r="C9" s="33">
        <v>2290154814915</v>
      </c>
      <c r="D9" s="8" t="s">
        <v>42</v>
      </c>
      <c r="E9" s="8" t="s">
        <v>45</v>
      </c>
      <c r="F9" s="8">
        <v>15</v>
      </c>
      <c r="G9" s="8">
        <v>2340</v>
      </c>
      <c r="H9" s="8">
        <v>166</v>
      </c>
      <c r="I9" s="11">
        <f t="shared" si="0"/>
        <v>7.0940170940170938E-2</v>
      </c>
      <c r="J9" s="9">
        <f t="shared" si="1"/>
        <v>3547.0085470085469</v>
      </c>
      <c r="K9" s="8"/>
    </row>
    <row r="10" spans="2:11" x14ac:dyDescent="0.3">
      <c r="B10" s="8" t="s">
        <v>29</v>
      </c>
      <c r="C10" s="33">
        <v>2290196500201</v>
      </c>
      <c r="D10" s="8" t="s">
        <v>40</v>
      </c>
      <c r="E10" s="8" t="s">
        <v>43</v>
      </c>
      <c r="F10" s="8">
        <v>14</v>
      </c>
      <c r="G10" s="8">
        <v>2340</v>
      </c>
      <c r="H10" s="8">
        <v>892</v>
      </c>
      <c r="I10" s="11">
        <f t="shared" si="0"/>
        <v>0.38119658119658117</v>
      </c>
      <c r="J10" s="9">
        <f t="shared" si="1"/>
        <v>19059.829059829059</v>
      </c>
      <c r="K10" s="8"/>
    </row>
    <row r="11" spans="2:11" x14ac:dyDescent="0.3">
      <c r="B11" s="8" t="s">
        <v>115</v>
      </c>
      <c r="C11" s="33">
        <v>2290167841894</v>
      </c>
      <c r="D11" s="8" t="s">
        <v>42</v>
      </c>
      <c r="E11" s="8" t="s">
        <v>45</v>
      </c>
      <c r="F11" s="8">
        <v>17</v>
      </c>
      <c r="G11" s="8">
        <v>2340</v>
      </c>
      <c r="H11" s="8">
        <v>874</v>
      </c>
      <c r="I11" s="11">
        <f t="shared" si="0"/>
        <v>0.37350427350427351</v>
      </c>
      <c r="J11" s="9">
        <f t="shared" si="1"/>
        <v>18675.213675213676</v>
      </c>
      <c r="K11" s="8"/>
    </row>
    <row r="12" spans="2:11" x14ac:dyDescent="0.3">
      <c r="B12" s="8" t="s">
        <v>112</v>
      </c>
      <c r="C12" s="33">
        <v>2290153508662</v>
      </c>
      <c r="D12" s="8" t="s">
        <v>42</v>
      </c>
      <c r="E12" s="8" t="s">
        <v>48</v>
      </c>
      <c r="F12" s="8">
        <v>30</v>
      </c>
      <c r="G12" s="8">
        <v>2340</v>
      </c>
      <c r="H12" s="8">
        <v>1744</v>
      </c>
      <c r="I12" s="11">
        <f>H12/G12</f>
        <v>0.74529914529914532</v>
      </c>
      <c r="J12" s="9">
        <f t="shared" si="1"/>
        <v>37264.957264957266</v>
      </c>
      <c r="K12" s="8"/>
    </row>
    <row r="13" spans="2:11" x14ac:dyDescent="0.3">
      <c r="B13" s="8" t="s">
        <v>14</v>
      </c>
      <c r="C13" s="33">
        <v>2290166890732</v>
      </c>
      <c r="D13" s="8" t="s">
        <v>42</v>
      </c>
      <c r="E13" s="8" t="s">
        <v>45</v>
      </c>
      <c r="F13" s="8">
        <v>25</v>
      </c>
      <c r="G13" s="8">
        <v>2340</v>
      </c>
      <c r="H13" s="8">
        <v>759</v>
      </c>
      <c r="I13" s="11">
        <f t="shared" si="0"/>
        <v>0.32435897435897437</v>
      </c>
      <c r="J13" s="9">
        <f t="shared" si="1"/>
        <v>16217.948717948719</v>
      </c>
      <c r="K13" s="8"/>
    </row>
    <row r="14" spans="2:11" x14ac:dyDescent="0.3">
      <c r="B14" s="8" t="s">
        <v>15</v>
      </c>
      <c r="C14" s="33">
        <v>2290161516161</v>
      </c>
      <c r="D14" s="8" t="s">
        <v>42</v>
      </c>
      <c r="E14" s="8" t="s">
        <v>47</v>
      </c>
      <c r="F14" s="8">
        <v>23</v>
      </c>
      <c r="G14" s="8">
        <v>2340</v>
      </c>
      <c r="H14" s="8">
        <v>585</v>
      </c>
      <c r="I14" s="11">
        <f t="shared" si="0"/>
        <v>0.25</v>
      </c>
      <c r="J14" s="9">
        <f t="shared" si="1"/>
        <v>12500</v>
      </c>
      <c r="K14" s="8"/>
    </row>
    <row r="15" spans="2:11" x14ac:dyDescent="0.3">
      <c r="B15" s="8" t="s">
        <v>5</v>
      </c>
      <c r="C15" s="33">
        <v>2290191358663</v>
      </c>
      <c r="D15" s="8" t="s">
        <v>40</v>
      </c>
      <c r="E15" s="8" t="s">
        <v>44</v>
      </c>
      <c r="F15" s="8">
        <v>44</v>
      </c>
      <c r="G15" s="8">
        <v>2340</v>
      </c>
      <c r="H15" s="8">
        <v>1347</v>
      </c>
      <c r="I15" s="11">
        <f t="shared" si="0"/>
        <v>0.57564102564102559</v>
      </c>
      <c r="J15" s="9">
        <f t="shared" si="1"/>
        <v>28782.051282051281</v>
      </c>
      <c r="K15" s="8"/>
    </row>
    <row r="16" spans="2:11" x14ac:dyDescent="0.3">
      <c r="B16" s="8" t="s">
        <v>35</v>
      </c>
      <c r="C16" s="33">
        <v>2290196403186</v>
      </c>
      <c r="D16" s="8" t="s">
        <v>42</v>
      </c>
      <c r="E16" s="8" t="s">
        <v>43</v>
      </c>
      <c r="F16" s="8">
        <v>4</v>
      </c>
      <c r="G16" s="8">
        <v>2340</v>
      </c>
      <c r="H16" s="8">
        <v>19</v>
      </c>
      <c r="I16" s="11">
        <f t="shared" si="0"/>
        <v>8.1196581196581203E-3</v>
      </c>
      <c r="J16" s="9">
        <f t="shared" si="1"/>
        <v>405.982905982906</v>
      </c>
      <c r="K16" s="36" t="s">
        <v>119</v>
      </c>
    </row>
    <row r="17" spans="2:11" x14ac:dyDescent="0.3">
      <c r="B17" s="8" t="s">
        <v>10</v>
      </c>
      <c r="C17" s="33">
        <v>2290196262480</v>
      </c>
      <c r="D17" s="8" t="s">
        <v>42</v>
      </c>
      <c r="E17" s="8" t="s">
        <v>45</v>
      </c>
      <c r="F17" s="8">
        <v>30</v>
      </c>
      <c r="G17" s="8">
        <v>2340</v>
      </c>
      <c r="H17" s="8">
        <v>2752</v>
      </c>
      <c r="I17" s="11">
        <f t="shared" si="0"/>
        <v>1.1760683760683761</v>
      </c>
      <c r="J17" s="9">
        <f t="shared" si="1"/>
        <v>50000</v>
      </c>
      <c r="K17" s="8"/>
    </row>
    <row r="18" spans="2:11" x14ac:dyDescent="0.3">
      <c r="B18" s="8" t="s">
        <v>3</v>
      </c>
      <c r="C18" s="33">
        <v>2290167401881</v>
      </c>
      <c r="D18" s="8" t="s">
        <v>40</v>
      </c>
      <c r="E18" s="8" t="s">
        <v>44</v>
      </c>
      <c r="F18" s="8">
        <v>51</v>
      </c>
      <c r="G18" s="8">
        <v>2340</v>
      </c>
      <c r="H18" s="8">
        <v>3612</v>
      </c>
      <c r="I18" s="11">
        <f t="shared" si="0"/>
        <v>1.5435897435897437</v>
      </c>
      <c r="J18" s="9">
        <f t="shared" si="1"/>
        <v>50000</v>
      </c>
      <c r="K18" s="8"/>
    </row>
    <row r="19" spans="2:11" x14ac:dyDescent="0.3">
      <c r="B19" s="8" t="s">
        <v>8</v>
      </c>
      <c r="C19" s="33">
        <v>2290197065391</v>
      </c>
      <c r="D19" s="8" t="s">
        <v>42</v>
      </c>
      <c r="E19" s="8" t="s">
        <v>45</v>
      </c>
      <c r="F19" s="8">
        <v>36</v>
      </c>
      <c r="G19" s="8">
        <v>2340</v>
      </c>
      <c r="H19" s="8">
        <v>1271</v>
      </c>
      <c r="I19" s="11">
        <f t="shared" si="0"/>
        <v>0.54316239316239312</v>
      </c>
      <c r="J19" s="9">
        <f t="shared" si="1"/>
        <v>27158.119658119656</v>
      </c>
      <c r="K19" s="8"/>
    </row>
    <row r="20" spans="2:11" x14ac:dyDescent="0.3">
      <c r="B20" s="8" t="s">
        <v>9</v>
      </c>
      <c r="C20" s="33">
        <v>2290197669754</v>
      </c>
      <c r="D20" s="8" t="s">
        <v>42</v>
      </c>
      <c r="E20" s="8" t="s">
        <v>45</v>
      </c>
      <c r="F20" s="8">
        <v>28</v>
      </c>
      <c r="G20" s="8">
        <v>2340</v>
      </c>
      <c r="H20" s="8">
        <v>1494</v>
      </c>
      <c r="I20" s="11">
        <f t="shared" si="0"/>
        <v>0.63846153846153841</v>
      </c>
      <c r="J20" s="9">
        <f t="shared" si="1"/>
        <v>31923.076923076922</v>
      </c>
      <c r="K20" s="8"/>
    </row>
    <row r="21" spans="2:11" x14ac:dyDescent="0.3">
      <c r="B21" s="8" t="s">
        <v>27</v>
      </c>
      <c r="C21" s="33">
        <v>2290167365568</v>
      </c>
      <c r="D21" s="8" t="s">
        <v>42</v>
      </c>
      <c r="E21" s="8" t="s">
        <v>43</v>
      </c>
      <c r="F21" s="8">
        <v>18</v>
      </c>
      <c r="G21" s="8">
        <v>2340</v>
      </c>
      <c r="H21" s="8">
        <v>94</v>
      </c>
      <c r="I21" s="11">
        <f t="shared" si="0"/>
        <v>4.0170940170940174E-2</v>
      </c>
      <c r="J21" s="9">
        <f t="shared" si="1"/>
        <v>2008.5470085470088</v>
      </c>
      <c r="K21" s="8"/>
    </row>
    <row r="22" spans="2:11" x14ac:dyDescent="0.3">
      <c r="B22" s="8" t="s">
        <v>31</v>
      </c>
      <c r="C22" s="33">
        <v>2290161598514</v>
      </c>
      <c r="D22" s="8" t="s">
        <v>42</v>
      </c>
      <c r="E22" s="8" t="s">
        <v>43</v>
      </c>
      <c r="F22" s="8">
        <v>13</v>
      </c>
      <c r="G22" s="8">
        <v>2340</v>
      </c>
      <c r="H22" s="8">
        <v>453</v>
      </c>
      <c r="I22" s="11">
        <f t="shared" si="0"/>
        <v>0.1935897435897436</v>
      </c>
      <c r="J22" s="9">
        <f t="shared" si="1"/>
        <v>9679.4871794871797</v>
      </c>
      <c r="K22" s="8"/>
    </row>
    <row r="23" spans="2:11" x14ac:dyDescent="0.3">
      <c r="B23" s="8" t="s">
        <v>13</v>
      </c>
      <c r="C23" s="33">
        <v>2290191864959</v>
      </c>
      <c r="D23" s="8" t="s">
        <v>42</v>
      </c>
      <c r="E23" s="8" t="s">
        <v>46</v>
      </c>
      <c r="F23" s="8">
        <v>29</v>
      </c>
      <c r="G23" s="8">
        <v>2340</v>
      </c>
      <c r="H23" s="8">
        <v>553</v>
      </c>
      <c r="I23" s="11">
        <f t="shared" si="0"/>
        <v>0.23632478632478632</v>
      </c>
      <c r="J23" s="9">
        <f t="shared" si="1"/>
        <v>11816.239316239316</v>
      </c>
      <c r="K23" s="8"/>
    </row>
    <row r="24" spans="2:11" x14ac:dyDescent="0.3">
      <c r="B24" s="8" t="s">
        <v>32</v>
      </c>
      <c r="C24" s="33">
        <v>2290191190453</v>
      </c>
      <c r="D24" s="8" t="s">
        <v>40</v>
      </c>
      <c r="E24" s="8" t="s">
        <v>46</v>
      </c>
      <c r="F24" s="8">
        <v>16</v>
      </c>
      <c r="G24" s="8">
        <v>2340</v>
      </c>
      <c r="H24" s="8">
        <v>720</v>
      </c>
      <c r="I24" s="11">
        <f t="shared" si="0"/>
        <v>0.30769230769230771</v>
      </c>
      <c r="J24" s="9">
        <f t="shared" si="1"/>
        <v>15384.615384615385</v>
      </c>
      <c r="K24" s="8"/>
    </row>
    <row r="25" spans="2:11" x14ac:dyDescent="0.3">
      <c r="B25" s="8" t="s">
        <v>4</v>
      </c>
      <c r="C25" s="33">
        <v>2290162246441</v>
      </c>
      <c r="D25" s="8" t="s">
        <v>42</v>
      </c>
      <c r="E25" s="8" t="s">
        <v>45</v>
      </c>
      <c r="F25" s="8">
        <v>44</v>
      </c>
      <c r="G25" s="8">
        <v>2340</v>
      </c>
      <c r="H25" s="8">
        <v>779</v>
      </c>
      <c r="I25" s="11">
        <f t="shared" si="0"/>
        <v>0.33290598290598289</v>
      </c>
      <c r="J25" s="9">
        <f t="shared" si="1"/>
        <v>16645.299145299145</v>
      </c>
      <c r="K25" s="8"/>
    </row>
    <row r="26" spans="2:11" x14ac:dyDescent="0.3">
      <c r="B26" s="8" t="s">
        <v>23</v>
      </c>
      <c r="C26" s="33">
        <v>2290161726747</v>
      </c>
      <c r="D26" s="8" t="s">
        <v>42</v>
      </c>
      <c r="E26" s="8" t="s">
        <v>43</v>
      </c>
      <c r="F26" s="8">
        <v>20</v>
      </c>
      <c r="G26" s="8">
        <v>2340</v>
      </c>
      <c r="H26" s="8">
        <v>633</v>
      </c>
      <c r="I26" s="11">
        <f t="shared" si="0"/>
        <v>0.2705128205128205</v>
      </c>
      <c r="J26" s="9">
        <f t="shared" si="1"/>
        <v>13525.641025641025</v>
      </c>
      <c r="K26" s="8"/>
    </row>
    <row r="27" spans="2:11" x14ac:dyDescent="0.3">
      <c r="B27" s="8" t="s">
        <v>34</v>
      </c>
      <c r="C27" s="33">
        <v>2290197291461</v>
      </c>
      <c r="D27" s="8" t="s">
        <v>40</v>
      </c>
      <c r="E27" s="8" t="s">
        <v>44</v>
      </c>
      <c r="F27" s="8">
        <v>11</v>
      </c>
      <c r="G27" s="8">
        <v>2340</v>
      </c>
      <c r="H27" s="8">
        <v>134</v>
      </c>
      <c r="I27" s="11">
        <f t="shared" si="0"/>
        <v>5.7264957264957263E-2</v>
      </c>
      <c r="J27" s="9">
        <f t="shared" si="1"/>
        <v>2863.2478632478633</v>
      </c>
      <c r="K27" s="8"/>
    </row>
    <row r="28" spans="2:11" x14ac:dyDescent="0.3">
      <c r="B28" s="8" t="s">
        <v>113</v>
      </c>
      <c r="C28" s="33">
        <v>2290167365568</v>
      </c>
      <c r="D28" s="8" t="s">
        <v>42</v>
      </c>
      <c r="E28" s="8" t="s">
        <v>43</v>
      </c>
      <c r="F28" s="8">
        <v>10</v>
      </c>
      <c r="G28" s="8">
        <v>2340</v>
      </c>
      <c r="H28" s="8">
        <v>62</v>
      </c>
      <c r="I28" s="11">
        <f t="shared" si="0"/>
        <v>2.6495726495726495E-2</v>
      </c>
      <c r="J28" s="9">
        <f t="shared" si="1"/>
        <v>1324.7863247863247</v>
      </c>
      <c r="K28" s="8"/>
    </row>
    <row r="29" spans="2:11" x14ac:dyDescent="0.3">
      <c r="B29" s="8" t="s">
        <v>18</v>
      </c>
      <c r="C29" s="33">
        <v>2290197404957</v>
      </c>
      <c r="D29" s="8" t="s">
        <v>40</v>
      </c>
      <c r="E29" s="8" t="s">
        <v>48</v>
      </c>
      <c r="F29" s="8">
        <v>23</v>
      </c>
      <c r="G29" s="8">
        <v>2340</v>
      </c>
      <c r="H29" s="8">
        <v>915</v>
      </c>
      <c r="I29" s="11">
        <f t="shared" si="0"/>
        <v>0.39102564102564102</v>
      </c>
      <c r="J29" s="9">
        <f t="shared" si="1"/>
        <v>19551.282051282051</v>
      </c>
      <c r="K29" s="8"/>
    </row>
    <row r="30" spans="2:11" x14ac:dyDescent="0.3">
      <c r="B30" s="8" t="s">
        <v>24</v>
      </c>
      <c r="C30" s="33">
        <v>2290167705700</v>
      </c>
      <c r="D30" s="8" t="s">
        <v>40</v>
      </c>
      <c r="E30" s="8" t="s">
        <v>48</v>
      </c>
      <c r="F30" s="8">
        <v>17</v>
      </c>
      <c r="G30" s="8">
        <v>2340</v>
      </c>
      <c r="H30" s="8">
        <v>735</v>
      </c>
      <c r="I30" s="11">
        <f t="shared" si="0"/>
        <v>0.3141025641025641</v>
      </c>
      <c r="J30" s="9">
        <f t="shared" si="1"/>
        <v>15705.128205128205</v>
      </c>
      <c r="K30" s="8"/>
    </row>
    <row r="31" spans="2:11" x14ac:dyDescent="0.3">
      <c r="B31" s="8" t="s">
        <v>17</v>
      </c>
      <c r="C31" s="33">
        <v>2290166017887</v>
      </c>
      <c r="D31" s="8" t="s">
        <v>42</v>
      </c>
      <c r="E31" s="8" t="s">
        <v>47</v>
      </c>
      <c r="F31" s="8">
        <v>29</v>
      </c>
      <c r="G31" s="8">
        <v>2340</v>
      </c>
      <c r="H31" s="8">
        <v>641</v>
      </c>
      <c r="I31" s="11">
        <f t="shared" si="0"/>
        <v>0.27393162393162396</v>
      </c>
      <c r="J31" s="9">
        <f t="shared" si="1"/>
        <v>13696.581196581197</v>
      </c>
      <c r="K31" s="8"/>
    </row>
    <row r="32" spans="2:11" x14ac:dyDescent="0.3">
      <c r="B32" s="8" t="s">
        <v>25</v>
      </c>
      <c r="C32" s="33">
        <v>2290197908749</v>
      </c>
      <c r="D32" s="8" t="s">
        <v>42</v>
      </c>
      <c r="E32" s="8" t="s">
        <v>48</v>
      </c>
      <c r="F32" s="8">
        <v>22</v>
      </c>
      <c r="G32" s="8">
        <v>2340</v>
      </c>
      <c r="H32" s="8">
        <v>453</v>
      </c>
      <c r="I32" s="11">
        <f t="shared" si="0"/>
        <v>0.1935897435897436</v>
      </c>
      <c r="J32" s="9">
        <f t="shared" si="1"/>
        <v>9679.4871794871797</v>
      </c>
      <c r="K32" s="8"/>
    </row>
    <row r="33" spans="2:11" x14ac:dyDescent="0.3">
      <c r="B33" s="8" t="s">
        <v>16</v>
      </c>
      <c r="C33" s="33">
        <v>2290166850411</v>
      </c>
      <c r="D33" s="8" t="s">
        <v>40</v>
      </c>
      <c r="E33" s="8" t="s">
        <v>44</v>
      </c>
      <c r="F33" s="8">
        <v>26</v>
      </c>
      <c r="G33" s="8">
        <v>2340</v>
      </c>
      <c r="H33" s="8">
        <v>1033</v>
      </c>
      <c r="I33" s="11">
        <f t="shared" si="0"/>
        <v>0.44145299145299144</v>
      </c>
      <c r="J33" s="9">
        <f t="shared" si="1"/>
        <v>22072.64957264957</v>
      </c>
      <c r="K33" s="8"/>
    </row>
    <row r="34" spans="2:11" x14ac:dyDescent="0.3">
      <c r="B34" s="8" t="s">
        <v>28</v>
      </c>
      <c r="C34" s="33">
        <v>2290166583033</v>
      </c>
      <c r="D34" s="8" t="s">
        <v>42</v>
      </c>
      <c r="E34" s="8" t="s">
        <v>47</v>
      </c>
      <c r="F34" s="8">
        <v>14</v>
      </c>
      <c r="G34" s="8">
        <v>2340</v>
      </c>
      <c r="H34" s="8">
        <v>92</v>
      </c>
      <c r="I34" s="11">
        <f t="shared" si="0"/>
        <v>3.9316239316239315E-2</v>
      </c>
      <c r="J34" s="9">
        <f t="shared" si="1"/>
        <v>1965.8119658119658</v>
      </c>
      <c r="K34" s="8"/>
    </row>
    <row r="35" spans="2:11" x14ac:dyDescent="0.3">
      <c r="B35" s="8" t="s">
        <v>7</v>
      </c>
      <c r="C35" s="33">
        <v>2290191699169</v>
      </c>
      <c r="D35" s="8" t="s">
        <v>42</v>
      </c>
      <c r="E35" s="8" t="s">
        <v>41</v>
      </c>
      <c r="F35" s="8">
        <v>38</v>
      </c>
      <c r="G35" s="8">
        <v>2340</v>
      </c>
      <c r="H35" s="8">
        <v>2309</v>
      </c>
      <c r="I35" s="11">
        <f t="shared" si="0"/>
        <v>0.9867521367521368</v>
      </c>
      <c r="J35" s="9">
        <f t="shared" si="1"/>
        <v>49337.606837606843</v>
      </c>
      <c r="K35" s="8"/>
    </row>
    <row r="36" spans="2:11" x14ac:dyDescent="0.3">
      <c r="B36" s="8" t="s">
        <v>6</v>
      </c>
      <c r="C36" s="33">
        <v>2290161255497</v>
      </c>
      <c r="D36" s="8" t="s">
        <v>42</v>
      </c>
      <c r="E36" s="8" t="s">
        <v>41</v>
      </c>
      <c r="F36" s="8">
        <v>33</v>
      </c>
      <c r="G36" s="8">
        <v>2340</v>
      </c>
      <c r="H36" s="8">
        <v>5758</v>
      </c>
      <c r="I36" s="11">
        <f t="shared" si="0"/>
        <v>2.4606837606837608</v>
      </c>
      <c r="J36" s="9">
        <f t="shared" si="1"/>
        <v>50000</v>
      </c>
      <c r="K36" s="8"/>
    </row>
    <row r="37" spans="2:11" x14ac:dyDescent="0.3">
      <c r="B37" s="8" t="s">
        <v>19</v>
      </c>
      <c r="C37" s="33">
        <v>2290190911414</v>
      </c>
      <c r="D37" s="8" t="s">
        <v>42</v>
      </c>
      <c r="E37" s="8" t="s">
        <v>48</v>
      </c>
      <c r="F37" s="8">
        <v>21</v>
      </c>
      <c r="G37" s="8">
        <v>2340</v>
      </c>
      <c r="H37" s="8">
        <v>850</v>
      </c>
      <c r="I37" s="11">
        <f t="shared" si="0"/>
        <v>0.36324786324786323</v>
      </c>
      <c r="J37" s="9">
        <f t="shared" si="1"/>
        <v>18162.39316239316</v>
      </c>
      <c r="K37" s="8"/>
    </row>
    <row r="38" spans="2:11" x14ac:dyDescent="0.3">
      <c r="B38" s="8" t="s">
        <v>120</v>
      </c>
      <c r="C38" s="33">
        <v>2290146039832</v>
      </c>
      <c r="D38" s="8" t="s">
        <v>42</v>
      </c>
      <c r="E38" s="8" t="s">
        <v>46</v>
      </c>
      <c r="F38" s="8">
        <v>23</v>
      </c>
      <c r="G38" s="8">
        <v>2340</v>
      </c>
      <c r="H38" s="8">
        <v>864</v>
      </c>
      <c r="I38" s="11">
        <f t="shared" si="0"/>
        <v>0.36923076923076925</v>
      </c>
      <c r="J38" s="9">
        <f t="shared" si="1"/>
        <v>18461.538461538461</v>
      </c>
      <c r="K38" s="8"/>
    </row>
    <row r="39" spans="2:11" x14ac:dyDescent="0.3">
      <c r="B39" s="8" t="s">
        <v>21</v>
      </c>
      <c r="C39" s="33">
        <v>2290191676808</v>
      </c>
      <c r="D39" s="8" t="s">
        <v>42</v>
      </c>
      <c r="E39" s="8" t="s">
        <v>46</v>
      </c>
      <c r="F39" s="8">
        <v>26</v>
      </c>
      <c r="G39" s="8">
        <v>2340</v>
      </c>
      <c r="H39" s="8">
        <v>1783</v>
      </c>
      <c r="I39" s="11">
        <f t="shared" si="0"/>
        <v>0.76196581196581192</v>
      </c>
      <c r="J39" s="9">
        <f t="shared" si="1"/>
        <v>38098.290598290594</v>
      </c>
      <c r="K39" s="8"/>
    </row>
    <row r="40" spans="2:11" x14ac:dyDescent="0.3">
      <c r="B40" s="8" t="s">
        <v>26</v>
      </c>
      <c r="C40" s="33">
        <v>2290196262368</v>
      </c>
      <c r="D40" s="8" t="s">
        <v>42</v>
      </c>
      <c r="E40" s="8" t="s">
        <v>45</v>
      </c>
      <c r="F40" s="8">
        <v>14</v>
      </c>
      <c r="G40" s="8">
        <v>2340</v>
      </c>
      <c r="H40" s="8">
        <v>928</v>
      </c>
      <c r="I40" s="11">
        <f t="shared" si="0"/>
        <v>0.39658119658119656</v>
      </c>
      <c r="J40" s="9">
        <f t="shared" si="1"/>
        <v>19829.059829059828</v>
      </c>
      <c r="K40" s="8"/>
    </row>
    <row r="41" spans="2:11" x14ac:dyDescent="0.3">
      <c r="B41" s="8" t="s">
        <v>116</v>
      </c>
      <c r="C41" s="33">
        <v>2290197017276</v>
      </c>
      <c r="D41" s="8" t="s">
        <v>42</v>
      </c>
      <c r="E41" s="8" t="s">
        <v>41</v>
      </c>
      <c r="F41" s="8">
        <v>52</v>
      </c>
      <c r="G41" s="8">
        <v>2340</v>
      </c>
      <c r="H41" s="8">
        <v>7305</v>
      </c>
      <c r="I41" s="11">
        <f t="shared" si="0"/>
        <v>3.1217948717948718</v>
      </c>
      <c r="J41" s="9">
        <f t="shared" si="1"/>
        <v>50000</v>
      </c>
      <c r="K41" s="8"/>
    </row>
    <row r="42" spans="2:11" x14ac:dyDescent="0.3">
      <c r="B42" s="8" t="s">
        <v>114</v>
      </c>
      <c r="C42" s="33">
        <v>2290166095937</v>
      </c>
      <c r="D42" s="8" t="s">
        <v>42</v>
      </c>
      <c r="E42" s="8" t="s">
        <v>44</v>
      </c>
      <c r="F42" s="8">
        <v>30</v>
      </c>
      <c r="G42" s="8">
        <v>2340</v>
      </c>
      <c r="H42" s="8">
        <v>711</v>
      </c>
      <c r="I42" s="11">
        <f t="shared" si="0"/>
        <v>0.30384615384615382</v>
      </c>
      <c r="J42" s="9">
        <f t="shared" si="1"/>
        <v>15192.307692307691</v>
      </c>
      <c r="K42" s="8"/>
    </row>
  </sheetData>
  <autoFilter ref="B2:J42" xr:uid="{1A805877-BDEB-4B2E-B12F-4A474AD56BF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4AD2-A1C4-4C4C-914E-73BE39AE63CF}">
  <dimension ref="A1:AK44"/>
  <sheetViews>
    <sheetView topLeftCell="A18" workbookViewId="0">
      <selection activeCell="B39" sqref="B39"/>
    </sheetView>
  </sheetViews>
  <sheetFormatPr defaultRowHeight="14.4" x14ac:dyDescent="0.3"/>
  <cols>
    <col min="1" max="1" width="21.33203125" bestFit="1" customWidth="1"/>
    <col min="2" max="2" width="21.33203125" customWidth="1"/>
    <col min="3" max="3" width="13.77734375" customWidth="1"/>
    <col min="4" max="4" width="12.88671875" customWidth="1"/>
    <col min="5" max="5" width="8.21875" customWidth="1"/>
    <col min="36" max="36" width="16" customWidth="1"/>
    <col min="37" max="37" width="11.109375" customWidth="1"/>
  </cols>
  <sheetData>
    <row r="1" spans="1:37" x14ac:dyDescent="0.3">
      <c r="A1" s="35" t="s">
        <v>62</v>
      </c>
    </row>
    <row r="2" spans="1:37" x14ac:dyDescent="0.3">
      <c r="AK2" s="1">
        <f>SUBTOTAL(109,AK4:AK43)</f>
        <v>20000</v>
      </c>
    </row>
    <row r="3" spans="1:37" ht="28.8" x14ac:dyDescent="0.3">
      <c r="A3" s="12" t="s">
        <v>0</v>
      </c>
      <c r="B3" s="12" t="s">
        <v>110</v>
      </c>
      <c r="C3" s="12" t="s">
        <v>38</v>
      </c>
      <c r="D3" s="12" t="s">
        <v>39</v>
      </c>
      <c r="E3" s="12">
        <v>45992</v>
      </c>
      <c r="F3" s="12">
        <v>45993</v>
      </c>
      <c r="G3" s="12">
        <v>45994</v>
      </c>
      <c r="H3" s="12">
        <v>45995</v>
      </c>
      <c r="I3" s="12">
        <v>45996</v>
      </c>
      <c r="J3" s="12">
        <v>45997</v>
      </c>
      <c r="K3" s="12">
        <v>45998</v>
      </c>
      <c r="L3" s="12">
        <v>45999</v>
      </c>
      <c r="M3" s="12">
        <v>46000</v>
      </c>
      <c r="N3" s="12">
        <v>46001</v>
      </c>
      <c r="O3" s="12">
        <v>46002</v>
      </c>
      <c r="P3" s="12">
        <v>46003</v>
      </c>
      <c r="Q3" s="12">
        <v>46004</v>
      </c>
      <c r="R3" s="12">
        <v>46005</v>
      </c>
      <c r="S3" s="12">
        <v>46006</v>
      </c>
      <c r="T3" s="12">
        <v>46007</v>
      </c>
      <c r="U3" s="12">
        <v>46008</v>
      </c>
      <c r="V3" s="12">
        <v>46009</v>
      </c>
      <c r="W3" s="12">
        <v>46010</v>
      </c>
      <c r="X3" s="12">
        <v>46011</v>
      </c>
      <c r="Y3" s="12">
        <v>46012</v>
      </c>
      <c r="Z3" s="12">
        <v>46013</v>
      </c>
      <c r="AA3" s="12">
        <v>46014</v>
      </c>
      <c r="AB3" s="12">
        <v>46015</v>
      </c>
      <c r="AC3" s="12">
        <v>46016</v>
      </c>
      <c r="AD3" s="12">
        <v>46017</v>
      </c>
      <c r="AE3" s="12">
        <v>46018</v>
      </c>
      <c r="AF3" s="12">
        <v>46019</v>
      </c>
      <c r="AG3" s="12">
        <v>46020</v>
      </c>
      <c r="AH3" s="12">
        <v>46021</v>
      </c>
      <c r="AI3" s="12">
        <v>46022</v>
      </c>
      <c r="AJ3" s="12" t="s">
        <v>37</v>
      </c>
      <c r="AK3" s="12" t="s">
        <v>55</v>
      </c>
    </row>
    <row r="4" spans="1:37" x14ac:dyDescent="0.3">
      <c r="A4" s="8" t="s">
        <v>12</v>
      </c>
      <c r="B4" s="32">
        <v>2290166834386</v>
      </c>
      <c r="C4" s="8" t="s">
        <v>40</v>
      </c>
      <c r="D4" s="8" t="s">
        <v>43</v>
      </c>
      <c r="E4" s="9">
        <v>9</v>
      </c>
      <c r="F4" s="9">
        <v>14</v>
      </c>
      <c r="G4" s="9">
        <v>6</v>
      </c>
      <c r="H4" s="9">
        <v>8</v>
      </c>
      <c r="I4" s="9">
        <v>11</v>
      </c>
      <c r="J4" s="9">
        <v>8</v>
      </c>
      <c r="K4" s="9">
        <v>0</v>
      </c>
      <c r="L4" s="9">
        <v>11</v>
      </c>
      <c r="M4" s="9">
        <v>10</v>
      </c>
      <c r="N4" s="9">
        <v>12</v>
      </c>
      <c r="O4" s="9">
        <v>10</v>
      </c>
      <c r="P4" s="9">
        <v>11</v>
      </c>
      <c r="Q4" s="9">
        <v>2</v>
      </c>
      <c r="R4" s="9">
        <v>0</v>
      </c>
      <c r="S4" s="9">
        <v>7</v>
      </c>
      <c r="T4" s="9">
        <v>4</v>
      </c>
      <c r="U4" s="9">
        <v>8</v>
      </c>
      <c r="V4" s="9">
        <v>8</v>
      </c>
      <c r="W4" s="9">
        <v>1</v>
      </c>
      <c r="X4" s="9">
        <v>2</v>
      </c>
      <c r="Y4" s="9">
        <v>0</v>
      </c>
      <c r="Z4" s="9">
        <v>4</v>
      </c>
      <c r="AA4" s="9">
        <v>3</v>
      </c>
      <c r="AB4" s="9">
        <v>3</v>
      </c>
      <c r="AC4" s="9">
        <v>1</v>
      </c>
      <c r="AD4" s="9">
        <v>5</v>
      </c>
      <c r="AE4" s="9">
        <v>4</v>
      </c>
      <c r="AF4" s="9">
        <v>1</v>
      </c>
      <c r="AG4" s="9">
        <v>4</v>
      </c>
      <c r="AH4" s="9">
        <v>4</v>
      </c>
      <c r="AI4" s="9">
        <v>1</v>
      </c>
      <c r="AJ4" s="9">
        <f>COUNTIF(E4:AH4,"&gt;=15")</f>
        <v>0</v>
      </c>
      <c r="AK4" s="9">
        <f>IF(AJ4&gt;=20,20000,0)</f>
        <v>0</v>
      </c>
    </row>
    <row r="5" spans="1:37" x14ac:dyDescent="0.3">
      <c r="A5" s="8" t="s">
        <v>22</v>
      </c>
      <c r="B5" s="32">
        <v>2290166118790</v>
      </c>
      <c r="C5" s="8" t="s">
        <v>42</v>
      </c>
      <c r="D5" s="8" t="s">
        <v>43</v>
      </c>
      <c r="E5" s="9">
        <v>2</v>
      </c>
      <c r="F5" s="9">
        <v>8</v>
      </c>
      <c r="G5" s="9">
        <v>7</v>
      </c>
      <c r="H5" s="9">
        <v>6</v>
      </c>
      <c r="I5" s="9">
        <v>4</v>
      </c>
      <c r="J5" s="9">
        <v>1</v>
      </c>
      <c r="K5" s="9">
        <v>0</v>
      </c>
      <c r="L5" s="9">
        <v>1</v>
      </c>
      <c r="M5" s="9">
        <v>4</v>
      </c>
      <c r="N5" s="9">
        <v>3</v>
      </c>
      <c r="O5" s="9">
        <v>5</v>
      </c>
      <c r="P5" s="9">
        <v>4</v>
      </c>
      <c r="Q5" s="9">
        <v>2</v>
      </c>
      <c r="R5" s="9">
        <v>1</v>
      </c>
      <c r="S5" s="9">
        <v>6</v>
      </c>
      <c r="T5" s="9">
        <v>3</v>
      </c>
      <c r="U5" s="9">
        <v>1</v>
      </c>
      <c r="V5" s="9">
        <v>1</v>
      </c>
      <c r="W5" s="9">
        <v>0</v>
      </c>
      <c r="X5" s="9">
        <v>0</v>
      </c>
      <c r="Y5" s="9">
        <v>0</v>
      </c>
      <c r="Z5" s="9">
        <v>2</v>
      </c>
      <c r="AA5" s="9">
        <v>2</v>
      </c>
      <c r="AB5" s="9">
        <v>2</v>
      </c>
      <c r="AC5" s="9">
        <v>0</v>
      </c>
      <c r="AD5" s="9">
        <v>0</v>
      </c>
      <c r="AE5" s="9">
        <v>7</v>
      </c>
      <c r="AF5" s="9">
        <v>1</v>
      </c>
      <c r="AG5" s="9">
        <v>4</v>
      </c>
      <c r="AH5" s="9">
        <v>2</v>
      </c>
      <c r="AI5" s="9">
        <v>1</v>
      </c>
      <c r="AJ5" s="9">
        <f t="shared" ref="AJ5:AJ43" si="0">COUNTIF(E5:AH5,"&gt;=15")</f>
        <v>0</v>
      </c>
      <c r="AK5" s="9">
        <f t="shared" ref="AK5:AK44" si="1">IF(AJ5&gt;=20,20000,0)</f>
        <v>0</v>
      </c>
    </row>
    <row r="6" spans="1:37" x14ac:dyDescent="0.3">
      <c r="A6" s="8" t="s">
        <v>30</v>
      </c>
      <c r="B6" s="32">
        <v>2290151111169</v>
      </c>
      <c r="C6" s="8" t="s">
        <v>42</v>
      </c>
      <c r="D6" s="8" t="s">
        <v>47</v>
      </c>
      <c r="E6" s="9">
        <v>2</v>
      </c>
      <c r="F6" s="9">
        <v>3</v>
      </c>
      <c r="G6" s="9">
        <v>2</v>
      </c>
      <c r="H6" s="9">
        <v>2</v>
      </c>
      <c r="I6" s="9">
        <v>3</v>
      </c>
      <c r="J6" s="9">
        <v>2</v>
      </c>
      <c r="K6" s="9">
        <v>0</v>
      </c>
      <c r="L6" s="9">
        <v>3</v>
      </c>
      <c r="M6" s="9">
        <v>2</v>
      </c>
      <c r="N6" s="9">
        <v>2</v>
      </c>
      <c r="O6" s="9">
        <v>2</v>
      </c>
      <c r="P6" s="9">
        <v>1</v>
      </c>
      <c r="Q6" s="9">
        <v>1</v>
      </c>
      <c r="R6" s="9">
        <v>0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0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0</v>
      </c>
      <c r="AG6" s="9">
        <v>1</v>
      </c>
      <c r="AH6" s="9">
        <v>1</v>
      </c>
      <c r="AI6" s="9">
        <v>1</v>
      </c>
      <c r="AJ6" s="9">
        <f t="shared" si="0"/>
        <v>0</v>
      </c>
      <c r="AK6" s="9">
        <f t="shared" si="1"/>
        <v>0</v>
      </c>
    </row>
    <row r="7" spans="1:37" x14ac:dyDescent="0.3">
      <c r="A7" s="8" t="s">
        <v>11</v>
      </c>
      <c r="B7" s="32">
        <v>2290197740321</v>
      </c>
      <c r="C7" s="8" t="s">
        <v>42</v>
      </c>
      <c r="D7" s="8" t="s">
        <v>45</v>
      </c>
      <c r="E7" s="9">
        <v>6</v>
      </c>
      <c r="F7" s="9">
        <v>6</v>
      </c>
      <c r="G7" s="9">
        <v>9</v>
      </c>
      <c r="H7" s="9">
        <v>6</v>
      </c>
      <c r="I7" s="9">
        <v>7</v>
      </c>
      <c r="J7" s="9">
        <v>8</v>
      </c>
      <c r="K7" s="9">
        <v>0</v>
      </c>
      <c r="L7" s="9">
        <v>9</v>
      </c>
      <c r="M7" s="9">
        <v>8</v>
      </c>
      <c r="N7" s="9">
        <v>6</v>
      </c>
      <c r="O7" s="9">
        <v>8</v>
      </c>
      <c r="P7" s="9">
        <v>8</v>
      </c>
      <c r="Q7" s="9">
        <v>6</v>
      </c>
      <c r="R7" s="9">
        <v>5</v>
      </c>
      <c r="S7" s="9">
        <v>13</v>
      </c>
      <c r="T7" s="9">
        <v>8</v>
      </c>
      <c r="U7" s="9">
        <v>5</v>
      </c>
      <c r="V7" s="9">
        <v>10</v>
      </c>
      <c r="W7" s="9">
        <v>10</v>
      </c>
      <c r="X7" s="9">
        <v>3</v>
      </c>
      <c r="Y7" s="9">
        <v>1</v>
      </c>
      <c r="Z7" s="9">
        <v>8</v>
      </c>
      <c r="AA7" s="9">
        <v>7</v>
      </c>
      <c r="AB7" s="9">
        <v>2</v>
      </c>
      <c r="AC7" s="9">
        <v>3</v>
      </c>
      <c r="AD7" s="9">
        <v>9</v>
      </c>
      <c r="AE7" s="9">
        <v>1</v>
      </c>
      <c r="AF7" s="9">
        <v>0</v>
      </c>
      <c r="AG7" s="9">
        <v>5</v>
      </c>
      <c r="AH7" s="9">
        <v>4</v>
      </c>
      <c r="AI7" s="9">
        <v>1</v>
      </c>
      <c r="AJ7" s="9">
        <f t="shared" si="0"/>
        <v>0</v>
      </c>
      <c r="AK7" s="9">
        <f t="shared" si="1"/>
        <v>0</v>
      </c>
    </row>
    <row r="8" spans="1:37" x14ac:dyDescent="0.3">
      <c r="A8" s="8" t="s">
        <v>20</v>
      </c>
      <c r="B8" s="32">
        <v>2290196366292</v>
      </c>
      <c r="C8" s="8" t="s">
        <v>42</v>
      </c>
      <c r="D8" s="8" t="s">
        <v>45</v>
      </c>
      <c r="E8" s="9">
        <v>4</v>
      </c>
      <c r="F8" s="9">
        <v>7</v>
      </c>
      <c r="G8" s="9">
        <v>5</v>
      </c>
      <c r="H8" s="9">
        <v>6</v>
      </c>
      <c r="I8" s="9">
        <v>3</v>
      </c>
      <c r="J8" s="9">
        <v>4</v>
      </c>
      <c r="K8" s="9">
        <v>0</v>
      </c>
      <c r="L8" s="9">
        <v>1</v>
      </c>
      <c r="M8" s="9">
        <v>2</v>
      </c>
      <c r="N8" s="9">
        <v>0</v>
      </c>
      <c r="O8" s="9">
        <v>6</v>
      </c>
      <c r="P8" s="9">
        <v>3</v>
      </c>
      <c r="Q8" s="9">
        <v>5</v>
      </c>
      <c r="R8" s="9">
        <v>0</v>
      </c>
      <c r="S8" s="9">
        <v>3</v>
      </c>
      <c r="T8" s="9">
        <v>5</v>
      </c>
      <c r="U8" s="9">
        <v>2</v>
      </c>
      <c r="V8" s="9">
        <v>3</v>
      </c>
      <c r="W8" s="9">
        <v>1</v>
      </c>
      <c r="X8" s="9">
        <v>2</v>
      </c>
      <c r="Y8" s="9">
        <v>0</v>
      </c>
      <c r="Z8" s="9">
        <v>1</v>
      </c>
      <c r="AA8" s="9">
        <v>5</v>
      </c>
      <c r="AB8" s="9">
        <v>1</v>
      </c>
      <c r="AC8" s="9">
        <v>0</v>
      </c>
      <c r="AD8" s="9">
        <v>3</v>
      </c>
      <c r="AE8" s="9">
        <v>3</v>
      </c>
      <c r="AF8" s="9">
        <v>0</v>
      </c>
      <c r="AG8" s="9">
        <v>3</v>
      </c>
      <c r="AH8" s="9">
        <v>0</v>
      </c>
      <c r="AI8" s="9">
        <v>0</v>
      </c>
      <c r="AJ8" s="9">
        <f t="shared" si="0"/>
        <v>0</v>
      </c>
      <c r="AK8" s="9">
        <f t="shared" si="1"/>
        <v>0</v>
      </c>
    </row>
    <row r="9" spans="1:37" x14ac:dyDescent="0.3">
      <c r="A9" s="8" t="s">
        <v>1</v>
      </c>
      <c r="B9" s="32">
        <v>2290166508084</v>
      </c>
      <c r="C9" s="8" t="s">
        <v>42</v>
      </c>
      <c r="D9" s="8" t="s">
        <v>43</v>
      </c>
      <c r="E9" s="9">
        <v>21</v>
      </c>
      <c r="F9" s="9">
        <v>22</v>
      </c>
      <c r="G9" s="9">
        <v>18</v>
      </c>
      <c r="H9" s="9">
        <v>17</v>
      </c>
      <c r="I9" s="9">
        <v>17</v>
      </c>
      <c r="J9" s="9">
        <v>11</v>
      </c>
      <c r="K9" s="9">
        <v>4</v>
      </c>
      <c r="L9" s="9">
        <v>13</v>
      </c>
      <c r="M9" s="9">
        <v>16</v>
      </c>
      <c r="N9" s="9">
        <v>19</v>
      </c>
      <c r="O9" s="9">
        <v>22</v>
      </c>
      <c r="P9" s="9">
        <v>21</v>
      </c>
      <c r="Q9" s="9">
        <v>17</v>
      </c>
      <c r="R9" s="9">
        <v>9</v>
      </c>
      <c r="S9" s="9">
        <v>22</v>
      </c>
      <c r="T9" s="9">
        <v>24</v>
      </c>
      <c r="U9" s="9">
        <v>20</v>
      </c>
      <c r="V9" s="9">
        <v>22</v>
      </c>
      <c r="W9" s="9">
        <v>25</v>
      </c>
      <c r="X9" s="9">
        <v>17</v>
      </c>
      <c r="Y9" s="9">
        <v>3</v>
      </c>
      <c r="Z9" s="9">
        <v>25</v>
      </c>
      <c r="AA9" s="9">
        <v>29</v>
      </c>
      <c r="AB9" s="9">
        <v>24</v>
      </c>
      <c r="AC9" s="9">
        <v>8</v>
      </c>
      <c r="AD9" s="9">
        <v>17</v>
      </c>
      <c r="AE9" s="9">
        <v>13</v>
      </c>
      <c r="AF9" s="9">
        <v>3</v>
      </c>
      <c r="AG9" s="9">
        <v>16</v>
      </c>
      <c r="AH9" s="9">
        <v>15</v>
      </c>
      <c r="AI9" s="9">
        <v>11</v>
      </c>
      <c r="AJ9" s="9">
        <f t="shared" si="0"/>
        <v>22</v>
      </c>
      <c r="AK9" s="9">
        <f t="shared" si="1"/>
        <v>20000</v>
      </c>
    </row>
    <row r="10" spans="1:37" x14ac:dyDescent="0.3">
      <c r="A10" s="8" t="s">
        <v>33</v>
      </c>
      <c r="B10" s="32">
        <v>2290154814915</v>
      </c>
      <c r="C10" s="8" t="s">
        <v>42</v>
      </c>
      <c r="D10" s="8" t="s">
        <v>45</v>
      </c>
      <c r="E10" s="9">
        <v>2</v>
      </c>
      <c r="F10" s="9">
        <v>2</v>
      </c>
      <c r="G10" s="9">
        <v>1</v>
      </c>
      <c r="H10" s="9">
        <v>1</v>
      </c>
      <c r="I10" s="9">
        <v>1</v>
      </c>
      <c r="J10" s="9">
        <v>1</v>
      </c>
      <c r="K10" s="9">
        <v>0</v>
      </c>
      <c r="L10" s="9">
        <v>2</v>
      </c>
      <c r="M10" s="9">
        <v>1</v>
      </c>
      <c r="N10" s="9">
        <v>2</v>
      </c>
      <c r="O10" s="9">
        <v>3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2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f t="shared" si="0"/>
        <v>0</v>
      </c>
      <c r="AK10" s="9">
        <f t="shared" si="1"/>
        <v>0</v>
      </c>
    </row>
    <row r="11" spans="1:37" x14ac:dyDescent="0.3">
      <c r="A11" s="8" t="s">
        <v>29</v>
      </c>
      <c r="B11" s="32">
        <v>2290196500201</v>
      </c>
      <c r="C11" s="8" t="s">
        <v>40</v>
      </c>
      <c r="D11" s="8" t="s">
        <v>43</v>
      </c>
      <c r="E11" s="9">
        <v>3</v>
      </c>
      <c r="F11" s="9">
        <v>4</v>
      </c>
      <c r="G11" s="9">
        <v>5</v>
      </c>
      <c r="H11" s="9">
        <v>4</v>
      </c>
      <c r="I11" s="9">
        <v>4</v>
      </c>
      <c r="J11" s="9">
        <v>1</v>
      </c>
      <c r="K11" s="9">
        <v>0</v>
      </c>
      <c r="L11" s="9">
        <v>4</v>
      </c>
      <c r="M11" s="9">
        <v>3</v>
      </c>
      <c r="N11" s="9">
        <v>4</v>
      </c>
      <c r="O11" s="9">
        <v>6</v>
      </c>
      <c r="P11" s="9">
        <v>5</v>
      </c>
      <c r="Q11" s="9">
        <v>5</v>
      </c>
      <c r="R11" s="9">
        <v>2</v>
      </c>
      <c r="S11" s="9">
        <v>4</v>
      </c>
      <c r="T11" s="9">
        <v>4</v>
      </c>
      <c r="U11" s="9">
        <v>5</v>
      </c>
      <c r="V11" s="9">
        <v>5</v>
      </c>
      <c r="W11" s="9">
        <v>5</v>
      </c>
      <c r="X11" s="9">
        <v>3</v>
      </c>
      <c r="Y11" s="9">
        <v>1</v>
      </c>
      <c r="Z11" s="9">
        <v>3</v>
      </c>
      <c r="AA11" s="9">
        <v>2</v>
      </c>
      <c r="AB11" s="9">
        <v>1</v>
      </c>
      <c r="AC11" s="9">
        <v>2</v>
      </c>
      <c r="AD11" s="9">
        <v>4</v>
      </c>
      <c r="AE11" s="9">
        <v>4</v>
      </c>
      <c r="AF11" s="9">
        <v>2</v>
      </c>
      <c r="AG11" s="9">
        <v>6</v>
      </c>
      <c r="AH11" s="9">
        <v>3</v>
      </c>
      <c r="AI11" s="9">
        <v>1</v>
      </c>
      <c r="AJ11" s="9">
        <f t="shared" si="0"/>
        <v>0</v>
      </c>
      <c r="AK11" s="9">
        <f t="shared" si="1"/>
        <v>0</v>
      </c>
    </row>
    <row r="12" spans="1:37" x14ac:dyDescent="0.3">
      <c r="A12" s="8" t="s">
        <v>115</v>
      </c>
      <c r="B12" s="32">
        <v>2290167841894</v>
      </c>
      <c r="C12" s="8" t="s">
        <v>42</v>
      </c>
      <c r="D12" s="8" t="s">
        <v>45</v>
      </c>
      <c r="E12" s="9">
        <v>3</v>
      </c>
      <c r="F12" s="9">
        <v>6</v>
      </c>
      <c r="G12" s="9">
        <v>4</v>
      </c>
      <c r="H12" s="9">
        <v>5</v>
      </c>
      <c r="I12" s="9">
        <v>5</v>
      </c>
      <c r="J12" s="9">
        <v>3</v>
      </c>
      <c r="K12" s="9">
        <v>1</v>
      </c>
      <c r="L12" s="9">
        <v>3</v>
      </c>
      <c r="M12" s="9">
        <v>4</v>
      </c>
      <c r="N12" s="9">
        <v>3</v>
      </c>
      <c r="O12" s="9">
        <v>7</v>
      </c>
      <c r="P12" s="9">
        <v>4</v>
      </c>
      <c r="Q12" s="9">
        <v>1</v>
      </c>
      <c r="R12" s="9">
        <v>2</v>
      </c>
      <c r="S12" s="9">
        <v>5</v>
      </c>
      <c r="T12" s="9">
        <v>4</v>
      </c>
      <c r="U12" s="9">
        <v>3</v>
      </c>
      <c r="V12" s="9">
        <v>5</v>
      </c>
      <c r="W12" s="9">
        <v>3</v>
      </c>
      <c r="X12" s="9">
        <v>3</v>
      </c>
      <c r="Y12" s="9">
        <v>2</v>
      </c>
      <c r="Z12" s="9">
        <v>3</v>
      </c>
      <c r="AA12" s="9">
        <v>2</v>
      </c>
      <c r="AB12" s="9">
        <v>0</v>
      </c>
      <c r="AC12" s="9">
        <v>1</v>
      </c>
      <c r="AD12" s="9">
        <v>1</v>
      </c>
      <c r="AE12" s="9">
        <v>2</v>
      </c>
      <c r="AF12" s="9">
        <v>0</v>
      </c>
      <c r="AG12" s="9">
        <v>2</v>
      </c>
      <c r="AH12" s="9">
        <v>1</v>
      </c>
      <c r="AI12" s="9">
        <v>0</v>
      </c>
      <c r="AJ12" s="9">
        <f t="shared" si="0"/>
        <v>0</v>
      </c>
      <c r="AK12" s="9">
        <f t="shared" si="1"/>
        <v>0</v>
      </c>
    </row>
    <row r="13" spans="1:37" x14ac:dyDescent="0.3">
      <c r="A13" s="8" t="s">
        <v>112</v>
      </c>
      <c r="B13" s="32">
        <v>2290153508662</v>
      </c>
      <c r="C13" s="8" t="s">
        <v>42</v>
      </c>
      <c r="D13" s="8" t="s">
        <v>48</v>
      </c>
      <c r="E13" s="9">
        <v>14</v>
      </c>
      <c r="F13" s="9">
        <v>9</v>
      </c>
      <c r="G13" s="9">
        <v>7</v>
      </c>
      <c r="H13" s="9">
        <v>10</v>
      </c>
      <c r="I13" s="9">
        <v>8</v>
      </c>
      <c r="J13" s="9">
        <v>6</v>
      </c>
      <c r="K13" s="9">
        <v>2</v>
      </c>
      <c r="L13" s="9">
        <v>7</v>
      </c>
      <c r="M13" s="9">
        <v>9</v>
      </c>
      <c r="N13" s="9">
        <v>9</v>
      </c>
      <c r="O13" s="9">
        <v>9</v>
      </c>
      <c r="P13" s="9">
        <v>8</v>
      </c>
      <c r="Q13" s="9">
        <v>6</v>
      </c>
      <c r="R13" s="9">
        <v>2</v>
      </c>
      <c r="S13" s="9">
        <v>10</v>
      </c>
      <c r="T13" s="9">
        <v>7</v>
      </c>
      <c r="U13" s="9">
        <v>9</v>
      </c>
      <c r="V13" s="9">
        <v>10</v>
      </c>
      <c r="W13" s="9">
        <v>8</v>
      </c>
      <c r="X13" s="9">
        <v>6</v>
      </c>
      <c r="Y13" s="9">
        <v>4</v>
      </c>
      <c r="Z13" s="9">
        <v>13</v>
      </c>
      <c r="AA13" s="9">
        <v>7</v>
      </c>
      <c r="AB13" s="9">
        <v>7</v>
      </c>
      <c r="AC13" s="9">
        <v>5</v>
      </c>
      <c r="AD13" s="9">
        <v>5</v>
      </c>
      <c r="AE13" s="9">
        <v>3</v>
      </c>
      <c r="AF13" s="9">
        <v>2</v>
      </c>
      <c r="AG13" s="9">
        <v>9</v>
      </c>
      <c r="AH13" s="9">
        <v>7</v>
      </c>
      <c r="AI13" s="9">
        <v>4</v>
      </c>
      <c r="AJ13" s="9">
        <f t="shared" si="0"/>
        <v>0</v>
      </c>
      <c r="AK13" s="9">
        <f t="shared" si="1"/>
        <v>0</v>
      </c>
    </row>
    <row r="14" spans="1:37" x14ac:dyDescent="0.3">
      <c r="A14" s="8" t="s">
        <v>14</v>
      </c>
      <c r="B14" s="32">
        <v>2290166890732</v>
      </c>
      <c r="C14" s="8" t="s">
        <v>42</v>
      </c>
      <c r="D14" s="8" t="s">
        <v>45</v>
      </c>
      <c r="E14" s="9">
        <v>7</v>
      </c>
      <c r="F14" s="9">
        <v>4</v>
      </c>
      <c r="G14" s="9">
        <v>4</v>
      </c>
      <c r="H14" s="9">
        <v>3</v>
      </c>
      <c r="I14" s="9">
        <v>5</v>
      </c>
      <c r="J14" s="9">
        <v>5</v>
      </c>
      <c r="K14" s="9">
        <v>0</v>
      </c>
      <c r="L14" s="9">
        <v>4</v>
      </c>
      <c r="M14" s="9">
        <v>4</v>
      </c>
      <c r="N14" s="9">
        <v>9</v>
      </c>
      <c r="O14" s="9">
        <v>8</v>
      </c>
      <c r="P14" s="9">
        <v>6</v>
      </c>
      <c r="Q14" s="9">
        <v>4</v>
      </c>
      <c r="R14" s="9">
        <v>4</v>
      </c>
      <c r="S14" s="9">
        <v>5</v>
      </c>
      <c r="T14" s="9">
        <v>6</v>
      </c>
      <c r="U14" s="9">
        <v>4</v>
      </c>
      <c r="V14" s="9">
        <v>3</v>
      </c>
      <c r="W14" s="9">
        <v>6</v>
      </c>
      <c r="X14" s="9">
        <v>4</v>
      </c>
      <c r="Y14" s="9">
        <v>6</v>
      </c>
      <c r="Z14" s="9">
        <v>3</v>
      </c>
      <c r="AA14" s="9">
        <v>3</v>
      </c>
      <c r="AB14" s="9">
        <v>3</v>
      </c>
      <c r="AC14" s="9">
        <v>1</v>
      </c>
      <c r="AD14" s="9">
        <v>2</v>
      </c>
      <c r="AE14" s="9">
        <v>0</v>
      </c>
      <c r="AF14" s="9">
        <v>0</v>
      </c>
      <c r="AG14" s="9">
        <v>0</v>
      </c>
      <c r="AH14" s="9">
        <v>2</v>
      </c>
      <c r="AI14" s="9">
        <v>0</v>
      </c>
      <c r="AJ14" s="9">
        <f t="shared" si="0"/>
        <v>0</v>
      </c>
      <c r="AK14" s="9">
        <f t="shared" si="1"/>
        <v>0</v>
      </c>
    </row>
    <row r="15" spans="1:37" x14ac:dyDescent="0.3">
      <c r="A15" s="8" t="s">
        <v>15</v>
      </c>
      <c r="B15" s="32">
        <v>2290161516161</v>
      </c>
      <c r="C15" s="8" t="s">
        <v>42</v>
      </c>
      <c r="D15" s="8" t="s">
        <v>47</v>
      </c>
      <c r="E15" s="9">
        <v>6</v>
      </c>
      <c r="F15" s="9">
        <v>6</v>
      </c>
      <c r="G15" s="9">
        <v>4</v>
      </c>
      <c r="H15" s="9">
        <v>4</v>
      </c>
      <c r="I15" s="9">
        <v>7</v>
      </c>
      <c r="J15" s="9">
        <v>6</v>
      </c>
      <c r="K15" s="9">
        <v>0</v>
      </c>
      <c r="L15" s="9">
        <v>5</v>
      </c>
      <c r="M15" s="9">
        <v>3</v>
      </c>
      <c r="N15" s="9">
        <v>10</v>
      </c>
      <c r="O15" s="9">
        <v>5</v>
      </c>
      <c r="P15" s="9">
        <v>6</v>
      </c>
      <c r="Q15" s="9">
        <v>2</v>
      </c>
      <c r="R15" s="9">
        <v>1</v>
      </c>
      <c r="S15" s="9">
        <v>8</v>
      </c>
      <c r="T15" s="9">
        <v>3</v>
      </c>
      <c r="U15" s="9">
        <v>4</v>
      </c>
      <c r="V15" s="9">
        <v>7</v>
      </c>
      <c r="W15" s="9">
        <v>6</v>
      </c>
      <c r="X15" s="9">
        <v>3</v>
      </c>
      <c r="Y15" s="9">
        <v>1</v>
      </c>
      <c r="Z15" s="9">
        <v>3</v>
      </c>
      <c r="AA15" s="9">
        <v>1</v>
      </c>
      <c r="AB15" s="9">
        <v>4</v>
      </c>
      <c r="AC15" s="9">
        <v>1</v>
      </c>
      <c r="AD15" s="9">
        <v>1</v>
      </c>
      <c r="AE15" s="9">
        <v>0</v>
      </c>
      <c r="AF15" s="9">
        <v>1</v>
      </c>
      <c r="AG15" s="9">
        <v>3</v>
      </c>
      <c r="AH15" s="9">
        <v>4</v>
      </c>
      <c r="AI15" s="9">
        <v>1</v>
      </c>
      <c r="AJ15" s="9">
        <f t="shared" si="0"/>
        <v>0</v>
      </c>
      <c r="AK15" s="9">
        <f t="shared" si="1"/>
        <v>0</v>
      </c>
    </row>
    <row r="16" spans="1:37" x14ac:dyDescent="0.3">
      <c r="A16" s="8" t="s">
        <v>5</v>
      </c>
      <c r="B16" s="32">
        <v>2290191358663</v>
      </c>
      <c r="C16" s="8" t="s">
        <v>40</v>
      </c>
      <c r="D16" s="8" t="s">
        <v>44</v>
      </c>
      <c r="E16" s="9">
        <v>14</v>
      </c>
      <c r="F16" s="9">
        <v>15</v>
      </c>
      <c r="G16" s="9">
        <v>5</v>
      </c>
      <c r="H16" s="9">
        <v>5</v>
      </c>
      <c r="I16" s="9">
        <v>14</v>
      </c>
      <c r="J16" s="9">
        <v>3</v>
      </c>
      <c r="K16" s="9">
        <v>1</v>
      </c>
      <c r="L16" s="9">
        <v>10</v>
      </c>
      <c r="M16" s="9">
        <v>10</v>
      </c>
      <c r="N16" s="9">
        <v>8</v>
      </c>
      <c r="O16" s="9">
        <v>6</v>
      </c>
      <c r="P16" s="9">
        <v>8</v>
      </c>
      <c r="Q16" s="9">
        <v>6</v>
      </c>
      <c r="R16" s="9">
        <v>5</v>
      </c>
      <c r="S16" s="9">
        <v>13</v>
      </c>
      <c r="T16" s="9">
        <v>14</v>
      </c>
      <c r="U16" s="9">
        <v>10</v>
      </c>
      <c r="V16" s="9">
        <v>5</v>
      </c>
      <c r="W16" s="9">
        <v>4</v>
      </c>
      <c r="X16" s="9">
        <v>6</v>
      </c>
      <c r="Y16" s="9">
        <v>3</v>
      </c>
      <c r="Z16" s="9">
        <v>11</v>
      </c>
      <c r="AA16" s="9">
        <v>9</v>
      </c>
      <c r="AB16" s="9">
        <v>9</v>
      </c>
      <c r="AC16" s="9">
        <v>4</v>
      </c>
      <c r="AD16" s="9">
        <v>10</v>
      </c>
      <c r="AE16" s="9">
        <v>6</v>
      </c>
      <c r="AF16" s="9">
        <v>3</v>
      </c>
      <c r="AG16" s="9">
        <v>9</v>
      </c>
      <c r="AH16" s="9">
        <v>7</v>
      </c>
      <c r="AI16" s="9">
        <v>3</v>
      </c>
      <c r="AJ16" s="9">
        <f t="shared" si="0"/>
        <v>1</v>
      </c>
      <c r="AK16" s="9">
        <f t="shared" si="1"/>
        <v>0</v>
      </c>
    </row>
    <row r="17" spans="1:37" x14ac:dyDescent="0.3">
      <c r="A17" s="8" t="s">
        <v>35</v>
      </c>
      <c r="B17" s="32">
        <v>2290196403186</v>
      </c>
      <c r="C17" s="8" t="s">
        <v>42</v>
      </c>
      <c r="D17" s="8" t="s">
        <v>43</v>
      </c>
      <c r="E17" s="9">
        <v>2</v>
      </c>
      <c r="F17" s="9">
        <v>0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1</v>
      </c>
      <c r="T17" s="9">
        <v>1</v>
      </c>
      <c r="U17" s="9">
        <v>1</v>
      </c>
      <c r="V17" s="9">
        <v>0</v>
      </c>
      <c r="W17" s="9">
        <v>0</v>
      </c>
      <c r="X17" s="9">
        <v>0</v>
      </c>
      <c r="Y17" s="9">
        <v>1</v>
      </c>
      <c r="Z17" s="9">
        <v>1</v>
      </c>
      <c r="AA17" s="9">
        <v>0</v>
      </c>
      <c r="AB17" s="9">
        <v>1</v>
      </c>
      <c r="AC17" s="9">
        <v>1</v>
      </c>
      <c r="AD17" s="9">
        <v>0</v>
      </c>
      <c r="AE17" s="9">
        <v>0</v>
      </c>
      <c r="AF17" s="9">
        <v>0</v>
      </c>
      <c r="AG17" s="9">
        <v>1</v>
      </c>
      <c r="AH17" s="9">
        <v>1</v>
      </c>
      <c r="AI17" s="9">
        <v>0</v>
      </c>
      <c r="AJ17" s="9">
        <f t="shared" si="0"/>
        <v>0</v>
      </c>
      <c r="AK17" s="9">
        <f t="shared" si="1"/>
        <v>0</v>
      </c>
    </row>
    <row r="18" spans="1:37" x14ac:dyDescent="0.3">
      <c r="A18" s="8" t="s">
        <v>10</v>
      </c>
      <c r="B18" s="32">
        <v>2290196262480</v>
      </c>
      <c r="C18" s="8" t="s">
        <v>42</v>
      </c>
      <c r="D18" s="8" t="s">
        <v>45</v>
      </c>
      <c r="E18" s="9">
        <v>14</v>
      </c>
      <c r="F18" s="9">
        <v>17</v>
      </c>
      <c r="G18" s="9">
        <v>2</v>
      </c>
      <c r="H18" s="9">
        <v>15</v>
      </c>
      <c r="I18" s="9">
        <v>14</v>
      </c>
      <c r="J18" s="9">
        <v>13</v>
      </c>
      <c r="K18" s="9">
        <v>1</v>
      </c>
      <c r="L18" s="9">
        <v>14</v>
      </c>
      <c r="M18" s="9">
        <v>13</v>
      </c>
      <c r="N18" s="9">
        <v>11</v>
      </c>
      <c r="O18" s="9">
        <v>15</v>
      </c>
      <c r="P18" s="9">
        <v>16</v>
      </c>
      <c r="Q18" s="9">
        <v>13</v>
      </c>
      <c r="R18" s="9">
        <v>12</v>
      </c>
      <c r="S18" s="9">
        <v>16</v>
      </c>
      <c r="T18" s="9">
        <v>11</v>
      </c>
      <c r="U18" s="9">
        <v>10</v>
      </c>
      <c r="V18" s="9">
        <v>11</v>
      </c>
      <c r="W18" s="9">
        <v>12</v>
      </c>
      <c r="X18" s="9">
        <v>11</v>
      </c>
      <c r="Y18" s="9">
        <v>7</v>
      </c>
      <c r="Z18" s="9">
        <v>8</v>
      </c>
      <c r="AA18" s="9">
        <v>14</v>
      </c>
      <c r="AB18" s="9">
        <v>8</v>
      </c>
      <c r="AC18" s="9">
        <v>7</v>
      </c>
      <c r="AD18" s="9">
        <v>9</v>
      </c>
      <c r="AE18" s="9">
        <v>8</v>
      </c>
      <c r="AF18" s="9">
        <v>0</v>
      </c>
      <c r="AG18" s="9">
        <v>2</v>
      </c>
      <c r="AH18" s="9">
        <v>1</v>
      </c>
      <c r="AI18" s="9">
        <v>0</v>
      </c>
      <c r="AJ18" s="9">
        <f t="shared" si="0"/>
        <v>5</v>
      </c>
      <c r="AK18" s="9">
        <f t="shared" si="1"/>
        <v>0</v>
      </c>
    </row>
    <row r="19" spans="1:37" x14ac:dyDescent="0.3">
      <c r="A19" s="8" t="s">
        <v>3</v>
      </c>
      <c r="B19" s="32">
        <v>2290167401881</v>
      </c>
      <c r="C19" s="8" t="s">
        <v>40</v>
      </c>
      <c r="D19" s="8" t="s">
        <v>44</v>
      </c>
      <c r="E19" s="9">
        <v>20</v>
      </c>
      <c r="F19" s="9">
        <v>24</v>
      </c>
      <c r="G19" s="9">
        <v>27</v>
      </c>
      <c r="H19" s="9">
        <v>17</v>
      </c>
      <c r="I19" s="9">
        <v>23</v>
      </c>
      <c r="J19" s="9">
        <v>15</v>
      </c>
      <c r="K19" s="9">
        <v>1</v>
      </c>
      <c r="L19" s="9">
        <v>18</v>
      </c>
      <c r="M19" s="9">
        <v>19</v>
      </c>
      <c r="N19" s="9">
        <v>27</v>
      </c>
      <c r="O19" s="9">
        <v>21</v>
      </c>
      <c r="P19" s="9">
        <v>18</v>
      </c>
      <c r="Q19" s="9">
        <v>17</v>
      </c>
      <c r="R19" s="9">
        <v>2</v>
      </c>
      <c r="S19" s="9">
        <v>17</v>
      </c>
      <c r="T19" s="9">
        <v>18</v>
      </c>
      <c r="U19" s="9">
        <v>26</v>
      </c>
      <c r="V19" s="9">
        <v>20</v>
      </c>
      <c r="W19" s="9">
        <v>17</v>
      </c>
      <c r="X19" s="9">
        <v>9</v>
      </c>
      <c r="Y19" s="9">
        <v>2</v>
      </c>
      <c r="Z19" s="9">
        <v>10</v>
      </c>
      <c r="AA19" s="9">
        <v>15</v>
      </c>
      <c r="AB19" s="9">
        <v>12</v>
      </c>
      <c r="AC19" s="9">
        <v>3</v>
      </c>
      <c r="AD19" s="9">
        <v>15</v>
      </c>
      <c r="AE19" s="9">
        <v>12</v>
      </c>
      <c r="AF19" s="9">
        <v>0</v>
      </c>
      <c r="AG19" s="9">
        <v>14</v>
      </c>
      <c r="AH19" s="9">
        <v>10</v>
      </c>
      <c r="AI19" s="9">
        <v>6</v>
      </c>
      <c r="AJ19" s="9">
        <f t="shared" si="0"/>
        <v>19</v>
      </c>
      <c r="AK19" s="9">
        <f t="shared" si="1"/>
        <v>0</v>
      </c>
    </row>
    <row r="20" spans="1:37" x14ac:dyDescent="0.3">
      <c r="A20" s="8" t="s">
        <v>8</v>
      </c>
      <c r="B20" s="32">
        <v>2290197065391</v>
      </c>
      <c r="C20" s="8" t="s">
        <v>42</v>
      </c>
      <c r="D20" s="8" t="s">
        <v>45</v>
      </c>
      <c r="E20" s="9">
        <v>6</v>
      </c>
      <c r="F20" s="9">
        <v>6</v>
      </c>
      <c r="G20" s="9">
        <v>6</v>
      </c>
      <c r="H20" s="9">
        <v>11</v>
      </c>
      <c r="I20" s="9">
        <v>11</v>
      </c>
      <c r="J20" s="9">
        <v>8</v>
      </c>
      <c r="K20" s="9">
        <v>2</v>
      </c>
      <c r="L20" s="9">
        <v>5</v>
      </c>
      <c r="M20" s="9">
        <v>7</v>
      </c>
      <c r="N20" s="9">
        <v>8</v>
      </c>
      <c r="O20" s="9">
        <v>11</v>
      </c>
      <c r="P20" s="9">
        <v>7</v>
      </c>
      <c r="Q20" s="9">
        <v>3</v>
      </c>
      <c r="R20" s="9">
        <v>2</v>
      </c>
      <c r="S20" s="9">
        <v>10</v>
      </c>
      <c r="T20" s="9">
        <v>4</v>
      </c>
      <c r="U20" s="9">
        <v>8</v>
      </c>
      <c r="V20" s="9">
        <v>7</v>
      </c>
      <c r="W20" s="9">
        <v>4</v>
      </c>
      <c r="X20" s="9">
        <v>2</v>
      </c>
      <c r="Y20" s="9">
        <v>1</v>
      </c>
      <c r="Z20" s="9">
        <v>8</v>
      </c>
      <c r="AA20" s="9">
        <v>4</v>
      </c>
      <c r="AB20" s="9">
        <v>6</v>
      </c>
      <c r="AC20" s="9">
        <v>3</v>
      </c>
      <c r="AD20" s="9">
        <v>7</v>
      </c>
      <c r="AE20" s="9">
        <v>4</v>
      </c>
      <c r="AF20" s="9">
        <v>1</v>
      </c>
      <c r="AG20" s="9">
        <v>7</v>
      </c>
      <c r="AH20" s="9">
        <v>4</v>
      </c>
      <c r="AI20" s="9">
        <v>6</v>
      </c>
      <c r="AJ20" s="9">
        <f t="shared" si="0"/>
        <v>0</v>
      </c>
      <c r="AK20" s="9">
        <f t="shared" si="1"/>
        <v>0</v>
      </c>
    </row>
    <row r="21" spans="1:37" x14ac:dyDescent="0.3">
      <c r="A21" s="8" t="s">
        <v>9</v>
      </c>
      <c r="B21" s="32">
        <v>2290197669754</v>
      </c>
      <c r="C21" s="8" t="s">
        <v>42</v>
      </c>
      <c r="D21" s="8" t="s">
        <v>45</v>
      </c>
      <c r="E21" s="9">
        <v>10</v>
      </c>
      <c r="F21" s="9">
        <v>10</v>
      </c>
      <c r="G21" s="9">
        <v>5</v>
      </c>
      <c r="H21" s="9">
        <v>7</v>
      </c>
      <c r="I21" s="9">
        <v>10</v>
      </c>
      <c r="J21" s="9">
        <v>7</v>
      </c>
      <c r="K21" s="9">
        <v>2</v>
      </c>
      <c r="L21" s="9">
        <v>9</v>
      </c>
      <c r="M21" s="9">
        <v>9</v>
      </c>
      <c r="N21" s="9">
        <v>9</v>
      </c>
      <c r="O21" s="9">
        <v>9</v>
      </c>
      <c r="P21" s="9">
        <v>13</v>
      </c>
      <c r="Q21" s="9">
        <v>6</v>
      </c>
      <c r="R21" s="9">
        <v>4</v>
      </c>
      <c r="S21" s="9">
        <v>6</v>
      </c>
      <c r="T21" s="9">
        <v>8</v>
      </c>
      <c r="U21" s="9">
        <v>6</v>
      </c>
      <c r="V21" s="9">
        <v>7</v>
      </c>
      <c r="W21" s="9">
        <v>9</v>
      </c>
      <c r="X21" s="9">
        <v>7</v>
      </c>
      <c r="Y21" s="9">
        <v>1</v>
      </c>
      <c r="Z21" s="9">
        <v>7</v>
      </c>
      <c r="AA21" s="9">
        <v>7</v>
      </c>
      <c r="AB21" s="9">
        <v>7</v>
      </c>
      <c r="AC21" s="9">
        <v>2</v>
      </c>
      <c r="AD21" s="9">
        <v>9</v>
      </c>
      <c r="AE21" s="9">
        <v>3</v>
      </c>
      <c r="AF21" s="9">
        <v>0</v>
      </c>
      <c r="AG21" s="9">
        <v>8</v>
      </c>
      <c r="AH21" s="9">
        <v>3</v>
      </c>
      <c r="AI21" s="9">
        <v>0</v>
      </c>
      <c r="AJ21" s="9">
        <f t="shared" si="0"/>
        <v>0</v>
      </c>
      <c r="AK21" s="9">
        <f t="shared" si="1"/>
        <v>0</v>
      </c>
    </row>
    <row r="22" spans="1:37" x14ac:dyDescent="0.3">
      <c r="A22" s="8" t="s">
        <v>27</v>
      </c>
      <c r="B22" s="32">
        <v>2290167365568</v>
      </c>
      <c r="C22" s="8" t="s">
        <v>42</v>
      </c>
      <c r="D22" s="8" t="s">
        <v>43</v>
      </c>
      <c r="E22" s="9">
        <v>3</v>
      </c>
      <c r="F22" s="9">
        <v>2</v>
      </c>
      <c r="G22" s="9">
        <v>3</v>
      </c>
      <c r="H22" s="9">
        <v>0</v>
      </c>
      <c r="I22" s="9">
        <v>1</v>
      </c>
      <c r="J22" s="9">
        <v>1</v>
      </c>
      <c r="K22" s="9">
        <v>0</v>
      </c>
      <c r="L22" s="9">
        <v>2</v>
      </c>
      <c r="M22" s="9">
        <v>3</v>
      </c>
      <c r="N22" s="9">
        <v>3</v>
      </c>
      <c r="O22" s="9">
        <v>3</v>
      </c>
      <c r="P22" s="9">
        <v>4</v>
      </c>
      <c r="Q22" s="9">
        <v>1</v>
      </c>
      <c r="R22" s="9">
        <v>0</v>
      </c>
      <c r="S22" s="9">
        <v>2</v>
      </c>
      <c r="T22" s="9">
        <v>2</v>
      </c>
      <c r="U22" s="9">
        <v>2</v>
      </c>
      <c r="V22" s="9">
        <v>2</v>
      </c>
      <c r="W22" s="9">
        <v>1</v>
      </c>
      <c r="X22" s="9">
        <v>3</v>
      </c>
      <c r="Y22" s="9">
        <v>0</v>
      </c>
      <c r="Z22" s="9">
        <v>1</v>
      </c>
      <c r="AA22" s="9">
        <v>1</v>
      </c>
      <c r="AB22" s="9">
        <v>1</v>
      </c>
      <c r="AC22" s="9">
        <v>1</v>
      </c>
      <c r="AD22" s="9">
        <v>2</v>
      </c>
      <c r="AE22" s="9">
        <v>1</v>
      </c>
      <c r="AF22" s="9">
        <v>0</v>
      </c>
      <c r="AG22" s="9">
        <v>1</v>
      </c>
      <c r="AH22" s="9">
        <v>1</v>
      </c>
      <c r="AI22" s="9">
        <v>1</v>
      </c>
      <c r="AJ22" s="9">
        <f t="shared" si="0"/>
        <v>0</v>
      </c>
      <c r="AK22" s="9">
        <f t="shared" si="1"/>
        <v>0</v>
      </c>
    </row>
    <row r="23" spans="1:37" x14ac:dyDescent="0.3">
      <c r="A23" s="8" t="s">
        <v>31</v>
      </c>
      <c r="B23" s="32">
        <v>2290161598514</v>
      </c>
      <c r="C23" s="8" t="s">
        <v>42</v>
      </c>
      <c r="D23" s="8" t="s">
        <v>43</v>
      </c>
      <c r="E23" s="9">
        <v>4</v>
      </c>
      <c r="F23" s="9">
        <v>6</v>
      </c>
      <c r="G23" s="9">
        <v>3</v>
      </c>
      <c r="H23" s="9">
        <v>5</v>
      </c>
      <c r="I23" s="9">
        <v>2</v>
      </c>
      <c r="J23" s="9">
        <v>4</v>
      </c>
      <c r="K23" s="9">
        <v>0</v>
      </c>
      <c r="L23" s="9">
        <v>2</v>
      </c>
      <c r="M23" s="9">
        <v>4</v>
      </c>
      <c r="N23" s="9">
        <v>2</v>
      </c>
      <c r="O23" s="9">
        <v>3</v>
      </c>
      <c r="P23" s="9">
        <v>3</v>
      </c>
      <c r="Q23" s="9">
        <v>2</v>
      </c>
      <c r="R23" s="9">
        <v>0</v>
      </c>
      <c r="S23" s="9">
        <v>4</v>
      </c>
      <c r="T23" s="9">
        <v>5</v>
      </c>
      <c r="U23" s="9">
        <v>3</v>
      </c>
      <c r="V23" s="9">
        <v>2</v>
      </c>
      <c r="W23" s="9">
        <v>1</v>
      </c>
      <c r="X23" s="9">
        <v>1</v>
      </c>
      <c r="Y23" s="9">
        <v>0</v>
      </c>
      <c r="Z23" s="9">
        <v>2</v>
      </c>
      <c r="AA23" s="9">
        <v>3</v>
      </c>
      <c r="AB23" s="9">
        <v>2</v>
      </c>
      <c r="AC23" s="9">
        <v>0</v>
      </c>
      <c r="AD23" s="9">
        <v>3</v>
      </c>
      <c r="AE23" s="9">
        <v>3</v>
      </c>
      <c r="AF23" s="9">
        <v>1</v>
      </c>
      <c r="AG23" s="9">
        <v>2</v>
      </c>
      <c r="AH23" s="9">
        <v>2</v>
      </c>
      <c r="AI23" s="9">
        <v>0</v>
      </c>
      <c r="AJ23" s="9">
        <f t="shared" si="0"/>
        <v>0</v>
      </c>
      <c r="AK23" s="9">
        <f t="shared" si="1"/>
        <v>0</v>
      </c>
    </row>
    <row r="24" spans="1:37" x14ac:dyDescent="0.3">
      <c r="A24" s="8" t="s">
        <v>13</v>
      </c>
      <c r="B24" s="32">
        <v>2290191864959</v>
      </c>
      <c r="C24" s="8" t="s">
        <v>42</v>
      </c>
      <c r="D24" s="8" t="s">
        <v>46</v>
      </c>
      <c r="E24" s="9">
        <v>9</v>
      </c>
      <c r="F24" s="9">
        <v>6</v>
      </c>
      <c r="G24" s="9">
        <v>7</v>
      </c>
      <c r="H24" s="9">
        <v>4</v>
      </c>
      <c r="I24" s="9">
        <v>7</v>
      </c>
      <c r="J24" s="9">
        <v>7</v>
      </c>
      <c r="K24" s="9">
        <v>3</v>
      </c>
      <c r="L24" s="9">
        <v>10</v>
      </c>
      <c r="M24" s="9">
        <v>10</v>
      </c>
      <c r="N24" s="9">
        <v>5</v>
      </c>
      <c r="O24" s="9">
        <v>11</v>
      </c>
      <c r="P24" s="9">
        <v>3</v>
      </c>
      <c r="Q24" s="9">
        <v>10</v>
      </c>
      <c r="R24" s="9">
        <v>2</v>
      </c>
      <c r="S24" s="9">
        <v>2</v>
      </c>
      <c r="T24" s="9">
        <v>7</v>
      </c>
      <c r="U24" s="9">
        <v>8</v>
      </c>
      <c r="V24" s="9">
        <v>7</v>
      </c>
      <c r="W24" s="9">
        <v>5</v>
      </c>
      <c r="X24" s="9">
        <v>11</v>
      </c>
      <c r="Y24" s="9">
        <v>4</v>
      </c>
      <c r="Z24" s="9">
        <v>10</v>
      </c>
      <c r="AA24" s="9">
        <v>9</v>
      </c>
      <c r="AB24" s="9">
        <v>10</v>
      </c>
      <c r="AC24" s="9">
        <v>10</v>
      </c>
      <c r="AD24" s="9">
        <v>7</v>
      </c>
      <c r="AE24" s="9">
        <v>6</v>
      </c>
      <c r="AF24" s="9">
        <v>7</v>
      </c>
      <c r="AG24" s="9">
        <v>12</v>
      </c>
      <c r="AH24" s="9">
        <v>6</v>
      </c>
      <c r="AI24" s="9">
        <v>4</v>
      </c>
      <c r="AJ24" s="9">
        <f t="shared" si="0"/>
        <v>0</v>
      </c>
      <c r="AK24" s="9">
        <f t="shared" si="1"/>
        <v>0</v>
      </c>
    </row>
    <row r="25" spans="1:37" x14ac:dyDescent="0.3">
      <c r="A25" s="8" t="s">
        <v>32</v>
      </c>
      <c r="B25" s="32">
        <v>2290191190453</v>
      </c>
      <c r="C25" s="8" t="s">
        <v>40</v>
      </c>
      <c r="D25" s="8" t="s">
        <v>46</v>
      </c>
      <c r="E25" s="9">
        <v>5</v>
      </c>
      <c r="F25" s="9">
        <v>5</v>
      </c>
      <c r="G25" s="9">
        <v>5</v>
      </c>
      <c r="H25" s="9">
        <v>5</v>
      </c>
      <c r="I25" s="9">
        <v>5</v>
      </c>
      <c r="J25" s="9">
        <v>3</v>
      </c>
      <c r="K25" s="9">
        <v>0</v>
      </c>
      <c r="L25" s="9">
        <v>7</v>
      </c>
      <c r="M25" s="9">
        <v>7</v>
      </c>
      <c r="N25" s="9">
        <v>4</v>
      </c>
      <c r="O25" s="9">
        <v>7</v>
      </c>
      <c r="P25" s="9">
        <v>8</v>
      </c>
      <c r="Q25" s="9">
        <v>7</v>
      </c>
      <c r="R25" s="9">
        <v>1</v>
      </c>
      <c r="S25" s="9">
        <v>7</v>
      </c>
      <c r="T25" s="9">
        <v>7</v>
      </c>
      <c r="U25" s="9">
        <v>6</v>
      </c>
      <c r="V25" s="9">
        <v>5</v>
      </c>
      <c r="W25" s="9">
        <v>5</v>
      </c>
      <c r="X25" s="9">
        <v>4</v>
      </c>
      <c r="Y25" s="9">
        <v>3</v>
      </c>
      <c r="Z25" s="9">
        <v>3</v>
      </c>
      <c r="AA25" s="9">
        <v>4</v>
      </c>
      <c r="AB25" s="9">
        <v>6</v>
      </c>
      <c r="AC25" s="9">
        <v>1</v>
      </c>
      <c r="AD25" s="9">
        <v>4</v>
      </c>
      <c r="AE25" s="9">
        <v>6</v>
      </c>
      <c r="AF25" s="9">
        <v>1</v>
      </c>
      <c r="AG25" s="9">
        <v>7</v>
      </c>
      <c r="AH25" s="9">
        <v>5</v>
      </c>
      <c r="AI25" s="9">
        <v>5</v>
      </c>
      <c r="AJ25" s="9">
        <f t="shared" si="0"/>
        <v>0</v>
      </c>
      <c r="AK25" s="9">
        <f t="shared" si="1"/>
        <v>0</v>
      </c>
    </row>
    <row r="26" spans="1:37" x14ac:dyDescent="0.3">
      <c r="A26" s="8" t="s">
        <v>4</v>
      </c>
      <c r="B26" s="32">
        <v>2290162246441</v>
      </c>
      <c r="C26" s="8" t="s">
        <v>42</v>
      </c>
      <c r="D26" s="8" t="s">
        <v>45</v>
      </c>
      <c r="E26" s="9">
        <v>10</v>
      </c>
      <c r="F26" s="9">
        <v>11</v>
      </c>
      <c r="G26" s="9">
        <v>10</v>
      </c>
      <c r="H26" s="9">
        <v>16</v>
      </c>
      <c r="I26" s="9">
        <v>7</v>
      </c>
      <c r="J26" s="9">
        <v>8</v>
      </c>
      <c r="K26" s="9">
        <v>0</v>
      </c>
      <c r="L26" s="9">
        <v>13</v>
      </c>
      <c r="M26" s="9">
        <v>8</v>
      </c>
      <c r="N26" s="9">
        <v>11</v>
      </c>
      <c r="O26" s="9">
        <v>4</v>
      </c>
      <c r="P26" s="9">
        <v>6</v>
      </c>
      <c r="Q26" s="9">
        <v>9</v>
      </c>
      <c r="R26" s="9">
        <v>2</v>
      </c>
      <c r="S26" s="9">
        <v>11</v>
      </c>
      <c r="T26" s="9">
        <v>8</v>
      </c>
      <c r="U26" s="9">
        <v>5</v>
      </c>
      <c r="V26" s="9">
        <v>7</v>
      </c>
      <c r="W26" s="9">
        <v>6</v>
      </c>
      <c r="X26" s="9">
        <v>4</v>
      </c>
      <c r="Y26" s="9">
        <v>2</v>
      </c>
      <c r="Z26" s="9">
        <v>5</v>
      </c>
      <c r="AA26" s="9">
        <v>8</v>
      </c>
      <c r="AB26" s="9">
        <v>6</v>
      </c>
      <c r="AC26" s="9">
        <v>0</v>
      </c>
      <c r="AD26" s="9">
        <v>4</v>
      </c>
      <c r="AE26" s="9">
        <v>7</v>
      </c>
      <c r="AF26" s="9">
        <v>2</v>
      </c>
      <c r="AG26" s="9">
        <v>3</v>
      </c>
      <c r="AH26" s="9">
        <v>8</v>
      </c>
      <c r="AI26" s="9">
        <v>5</v>
      </c>
      <c r="AJ26" s="9">
        <f t="shared" si="0"/>
        <v>1</v>
      </c>
      <c r="AK26" s="9">
        <f t="shared" si="1"/>
        <v>0</v>
      </c>
    </row>
    <row r="27" spans="1:37" x14ac:dyDescent="0.3">
      <c r="A27" s="8" t="s">
        <v>23</v>
      </c>
      <c r="B27" s="32">
        <v>2290161726747</v>
      </c>
      <c r="C27" s="8" t="s">
        <v>42</v>
      </c>
      <c r="D27" s="8" t="s">
        <v>43</v>
      </c>
      <c r="E27" s="9">
        <v>4</v>
      </c>
      <c r="F27" s="9">
        <v>2</v>
      </c>
      <c r="G27" s="9">
        <v>4</v>
      </c>
      <c r="H27" s="9">
        <v>4</v>
      </c>
      <c r="I27" s="9">
        <v>4</v>
      </c>
      <c r="J27" s="9">
        <v>3</v>
      </c>
      <c r="K27" s="9">
        <v>1</v>
      </c>
      <c r="L27" s="9">
        <v>5</v>
      </c>
      <c r="M27" s="9">
        <v>5</v>
      </c>
      <c r="N27" s="9">
        <v>6</v>
      </c>
      <c r="O27" s="9">
        <v>3</v>
      </c>
      <c r="P27" s="9">
        <v>3</v>
      </c>
      <c r="Q27" s="9">
        <v>0</v>
      </c>
      <c r="R27" s="9">
        <v>0</v>
      </c>
      <c r="S27" s="9">
        <v>2</v>
      </c>
      <c r="T27" s="9">
        <v>4</v>
      </c>
      <c r="U27" s="9">
        <v>2</v>
      </c>
      <c r="V27" s="9">
        <v>3</v>
      </c>
      <c r="W27" s="9">
        <v>0</v>
      </c>
      <c r="X27" s="9">
        <v>3</v>
      </c>
      <c r="Y27" s="9">
        <v>1</v>
      </c>
      <c r="Z27" s="9">
        <v>1</v>
      </c>
      <c r="AA27" s="9">
        <v>1</v>
      </c>
      <c r="AB27" s="9">
        <v>1</v>
      </c>
      <c r="AC27" s="9">
        <v>0</v>
      </c>
      <c r="AD27" s="9">
        <v>1</v>
      </c>
      <c r="AE27" s="9">
        <v>2</v>
      </c>
      <c r="AF27" s="9">
        <v>0</v>
      </c>
      <c r="AG27" s="9">
        <v>0</v>
      </c>
      <c r="AH27" s="9">
        <v>2</v>
      </c>
      <c r="AI27" s="9">
        <v>1</v>
      </c>
      <c r="AJ27" s="9">
        <f t="shared" si="0"/>
        <v>0</v>
      </c>
      <c r="AK27" s="9">
        <f t="shared" si="1"/>
        <v>0</v>
      </c>
    </row>
    <row r="28" spans="1:37" x14ac:dyDescent="0.3">
      <c r="A28" s="8" t="s">
        <v>34</v>
      </c>
      <c r="B28" s="32">
        <v>2290197291461</v>
      </c>
      <c r="C28" s="8" t="s">
        <v>40</v>
      </c>
      <c r="D28" s="8" t="s">
        <v>44</v>
      </c>
      <c r="E28" s="9">
        <v>1</v>
      </c>
      <c r="F28" s="9">
        <v>0</v>
      </c>
      <c r="G28" s="9">
        <v>2</v>
      </c>
      <c r="H28" s="9">
        <v>1</v>
      </c>
      <c r="I28" s="9">
        <v>3</v>
      </c>
      <c r="J28" s="9">
        <v>2</v>
      </c>
      <c r="K28" s="9">
        <v>0</v>
      </c>
      <c r="L28" s="9">
        <v>2</v>
      </c>
      <c r="M28" s="9">
        <v>1</v>
      </c>
      <c r="N28" s="9">
        <v>2</v>
      </c>
      <c r="O28" s="9">
        <v>3</v>
      </c>
      <c r="P28" s="9">
        <v>1</v>
      </c>
      <c r="Q28" s="9">
        <v>0</v>
      </c>
      <c r="R28" s="9">
        <v>2</v>
      </c>
      <c r="S28" s="9">
        <v>4</v>
      </c>
      <c r="T28" s="9">
        <v>3</v>
      </c>
      <c r="U28" s="9">
        <v>3</v>
      </c>
      <c r="V28" s="9">
        <v>2</v>
      </c>
      <c r="W28" s="9">
        <v>1</v>
      </c>
      <c r="X28" s="9">
        <v>3</v>
      </c>
      <c r="Y28" s="9">
        <v>2</v>
      </c>
      <c r="Z28" s="9">
        <v>3</v>
      </c>
      <c r="AA28" s="9">
        <v>3</v>
      </c>
      <c r="AB28" s="9">
        <v>1</v>
      </c>
      <c r="AC28" s="9">
        <v>1</v>
      </c>
      <c r="AD28" s="9">
        <v>2</v>
      </c>
      <c r="AE28" s="9">
        <v>1</v>
      </c>
      <c r="AF28" s="9">
        <v>1</v>
      </c>
      <c r="AG28" s="9">
        <v>2</v>
      </c>
      <c r="AH28" s="9">
        <v>3</v>
      </c>
      <c r="AI28" s="9">
        <v>0</v>
      </c>
      <c r="AJ28" s="9">
        <f t="shared" si="0"/>
        <v>0</v>
      </c>
      <c r="AK28" s="9">
        <f t="shared" si="1"/>
        <v>0</v>
      </c>
    </row>
    <row r="29" spans="1:37" x14ac:dyDescent="0.3">
      <c r="A29" s="8" t="s">
        <v>113</v>
      </c>
      <c r="B29" s="32">
        <v>2290167365568</v>
      </c>
      <c r="C29" s="8" t="s">
        <v>42</v>
      </c>
      <c r="D29" s="8" t="s">
        <v>43</v>
      </c>
      <c r="E29" s="9">
        <v>1</v>
      </c>
      <c r="F29" s="9">
        <v>2</v>
      </c>
      <c r="G29" s="9">
        <v>1</v>
      </c>
      <c r="H29" s="9">
        <v>1</v>
      </c>
      <c r="I29" s="9">
        <v>3</v>
      </c>
      <c r="J29" s="9">
        <v>2</v>
      </c>
      <c r="K29" s="9">
        <v>0</v>
      </c>
      <c r="L29" s="9">
        <v>1</v>
      </c>
      <c r="M29" s="9">
        <v>4</v>
      </c>
      <c r="N29" s="9">
        <v>1</v>
      </c>
      <c r="O29" s="9">
        <v>2</v>
      </c>
      <c r="P29" s="9">
        <v>1</v>
      </c>
      <c r="Q29" s="9">
        <v>1</v>
      </c>
      <c r="R29" s="9">
        <v>0</v>
      </c>
      <c r="S29" s="9">
        <v>2</v>
      </c>
      <c r="T29" s="9">
        <v>0</v>
      </c>
      <c r="U29" s="9">
        <v>2</v>
      </c>
      <c r="V29" s="9">
        <v>1</v>
      </c>
      <c r="W29" s="9">
        <v>1</v>
      </c>
      <c r="X29" s="9">
        <v>0</v>
      </c>
      <c r="Y29" s="9">
        <v>0</v>
      </c>
      <c r="Z29" s="9">
        <v>0</v>
      </c>
      <c r="AA29" s="9">
        <v>0</v>
      </c>
      <c r="AB29" s="9">
        <v>1</v>
      </c>
      <c r="AC29" s="9">
        <v>0</v>
      </c>
      <c r="AD29" s="9">
        <v>1</v>
      </c>
      <c r="AE29" s="9">
        <v>0</v>
      </c>
      <c r="AF29" s="9">
        <v>1</v>
      </c>
      <c r="AG29" s="9">
        <v>1</v>
      </c>
      <c r="AH29" s="9">
        <v>2</v>
      </c>
      <c r="AI29" s="9">
        <v>0</v>
      </c>
      <c r="AJ29" s="9">
        <f t="shared" si="0"/>
        <v>0</v>
      </c>
      <c r="AK29" s="9">
        <f t="shared" si="1"/>
        <v>0</v>
      </c>
    </row>
    <row r="30" spans="1:37" x14ac:dyDescent="0.3">
      <c r="A30" s="8" t="s">
        <v>18</v>
      </c>
      <c r="B30" s="32">
        <v>2290197404957</v>
      </c>
      <c r="C30" s="8" t="s">
        <v>40</v>
      </c>
      <c r="D30" s="8" t="s">
        <v>48</v>
      </c>
      <c r="E30" s="9">
        <v>10</v>
      </c>
      <c r="F30" s="9">
        <v>10</v>
      </c>
      <c r="G30" s="9">
        <v>8</v>
      </c>
      <c r="H30" s="9">
        <v>9</v>
      </c>
      <c r="I30" s="9">
        <v>8</v>
      </c>
      <c r="J30" s="9">
        <v>9</v>
      </c>
      <c r="K30" s="9">
        <v>1</v>
      </c>
      <c r="L30" s="9">
        <v>12</v>
      </c>
      <c r="M30" s="9">
        <v>14</v>
      </c>
      <c r="N30" s="9">
        <v>11</v>
      </c>
      <c r="O30" s="9">
        <v>15</v>
      </c>
      <c r="P30" s="9">
        <v>9</v>
      </c>
      <c r="Q30" s="9">
        <v>6</v>
      </c>
      <c r="R30" s="9">
        <v>1</v>
      </c>
      <c r="S30" s="9">
        <v>13</v>
      </c>
      <c r="T30" s="9">
        <v>11</v>
      </c>
      <c r="U30" s="9">
        <v>12</v>
      </c>
      <c r="V30" s="9">
        <v>13</v>
      </c>
      <c r="W30" s="9">
        <v>13</v>
      </c>
      <c r="X30" s="9">
        <v>12</v>
      </c>
      <c r="Y30" s="9">
        <v>4</v>
      </c>
      <c r="Z30" s="9">
        <v>8</v>
      </c>
      <c r="AA30" s="9">
        <v>10</v>
      </c>
      <c r="AB30" s="9">
        <v>10</v>
      </c>
      <c r="AC30" s="9">
        <v>9</v>
      </c>
      <c r="AD30" s="9">
        <v>12</v>
      </c>
      <c r="AE30" s="9">
        <v>7</v>
      </c>
      <c r="AF30" s="9">
        <v>5</v>
      </c>
      <c r="AG30" s="9">
        <v>14</v>
      </c>
      <c r="AH30" s="9">
        <v>11</v>
      </c>
      <c r="AI30" s="9">
        <v>10</v>
      </c>
      <c r="AJ30" s="9">
        <f t="shared" si="0"/>
        <v>1</v>
      </c>
      <c r="AK30" s="9">
        <f t="shared" si="1"/>
        <v>0</v>
      </c>
    </row>
    <row r="31" spans="1:37" x14ac:dyDescent="0.3">
      <c r="A31" s="8" t="s">
        <v>24</v>
      </c>
      <c r="B31" s="32">
        <v>2290167705700</v>
      </c>
      <c r="C31" s="8" t="s">
        <v>40</v>
      </c>
      <c r="D31" s="8" t="s">
        <v>48</v>
      </c>
      <c r="E31" s="9">
        <v>7</v>
      </c>
      <c r="F31" s="9">
        <v>4</v>
      </c>
      <c r="G31" s="9">
        <v>5</v>
      </c>
      <c r="H31" s="9">
        <v>2</v>
      </c>
      <c r="I31" s="9">
        <v>4</v>
      </c>
      <c r="J31" s="9">
        <v>2</v>
      </c>
      <c r="K31" s="9">
        <v>0</v>
      </c>
      <c r="L31" s="9">
        <v>1</v>
      </c>
      <c r="M31" s="9">
        <v>8</v>
      </c>
      <c r="N31" s="9">
        <v>4</v>
      </c>
      <c r="O31" s="9">
        <v>2</v>
      </c>
      <c r="P31" s="9">
        <v>3</v>
      </c>
      <c r="Q31" s="9">
        <v>3</v>
      </c>
      <c r="R31" s="9">
        <v>0</v>
      </c>
      <c r="S31" s="9">
        <v>6</v>
      </c>
      <c r="T31" s="9">
        <v>7</v>
      </c>
      <c r="U31" s="9">
        <v>4</v>
      </c>
      <c r="V31" s="9">
        <v>2</v>
      </c>
      <c r="W31" s="9">
        <v>3</v>
      </c>
      <c r="X31" s="9">
        <v>0</v>
      </c>
      <c r="Y31" s="9">
        <v>1</v>
      </c>
      <c r="Z31" s="9">
        <v>3</v>
      </c>
      <c r="AA31" s="9">
        <v>3</v>
      </c>
      <c r="AB31" s="9">
        <v>3</v>
      </c>
      <c r="AC31" s="9">
        <v>1</v>
      </c>
      <c r="AD31" s="9">
        <v>1</v>
      </c>
      <c r="AE31" s="9">
        <v>1</v>
      </c>
      <c r="AF31" s="9">
        <v>2</v>
      </c>
      <c r="AG31" s="9">
        <v>3</v>
      </c>
      <c r="AH31" s="9">
        <v>3</v>
      </c>
      <c r="AI31" s="9">
        <v>2</v>
      </c>
      <c r="AJ31" s="9">
        <f t="shared" si="0"/>
        <v>0</v>
      </c>
      <c r="AK31" s="9">
        <f t="shared" si="1"/>
        <v>0</v>
      </c>
    </row>
    <row r="32" spans="1:37" x14ac:dyDescent="0.3">
      <c r="A32" s="8" t="s">
        <v>17</v>
      </c>
      <c r="B32" s="32">
        <v>2290166017887</v>
      </c>
      <c r="C32" s="8" t="s">
        <v>42</v>
      </c>
      <c r="D32" s="8" t="s">
        <v>47</v>
      </c>
      <c r="E32" s="9">
        <v>15</v>
      </c>
      <c r="F32" s="9">
        <v>12</v>
      </c>
      <c r="G32" s="9">
        <v>8</v>
      </c>
      <c r="H32" s="9">
        <v>8</v>
      </c>
      <c r="I32" s="9">
        <v>5</v>
      </c>
      <c r="J32" s="9">
        <v>2</v>
      </c>
      <c r="K32" s="9">
        <v>0</v>
      </c>
      <c r="L32" s="9">
        <v>10</v>
      </c>
      <c r="M32" s="9">
        <v>12</v>
      </c>
      <c r="N32" s="9">
        <v>11</v>
      </c>
      <c r="O32" s="9">
        <v>6</v>
      </c>
      <c r="P32" s="9">
        <v>9</v>
      </c>
      <c r="Q32" s="9">
        <v>7</v>
      </c>
      <c r="R32" s="9">
        <v>2</v>
      </c>
      <c r="S32" s="9">
        <v>10</v>
      </c>
      <c r="T32" s="9">
        <v>2</v>
      </c>
      <c r="U32" s="9">
        <v>4</v>
      </c>
      <c r="V32" s="9">
        <v>4</v>
      </c>
      <c r="W32" s="9">
        <v>5</v>
      </c>
      <c r="X32" s="9">
        <v>3</v>
      </c>
      <c r="Y32" s="9">
        <v>0</v>
      </c>
      <c r="Z32" s="9">
        <v>4</v>
      </c>
      <c r="AA32" s="9">
        <v>7</v>
      </c>
      <c r="AB32" s="9">
        <v>4</v>
      </c>
      <c r="AC32" s="9">
        <v>2</v>
      </c>
      <c r="AD32" s="9">
        <v>4</v>
      </c>
      <c r="AE32" s="9">
        <v>2</v>
      </c>
      <c r="AF32" s="9">
        <v>1</v>
      </c>
      <c r="AG32" s="9">
        <v>3</v>
      </c>
      <c r="AH32" s="9">
        <v>5</v>
      </c>
      <c r="AI32" s="9">
        <v>4</v>
      </c>
      <c r="AJ32" s="9">
        <f t="shared" si="0"/>
        <v>1</v>
      </c>
      <c r="AK32" s="9">
        <f t="shared" si="1"/>
        <v>0</v>
      </c>
    </row>
    <row r="33" spans="1:37" x14ac:dyDescent="0.3">
      <c r="A33" s="8" t="s">
        <v>25</v>
      </c>
      <c r="B33" s="32">
        <v>2290197908749</v>
      </c>
      <c r="C33" s="8" t="s">
        <v>42</v>
      </c>
      <c r="D33" s="8" t="s">
        <v>48</v>
      </c>
      <c r="E33" s="9">
        <v>5</v>
      </c>
      <c r="F33" s="9">
        <v>4</v>
      </c>
      <c r="G33" s="9">
        <v>2</v>
      </c>
      <c r="H33" s="9">
        <v>4</v>
      </c>
      <c r="I33" s="9">
        <v>3</v>
      </c>
      <c r="J33" s="9">
        <v>2</v>
      </c>
      <c r="K33" s="9">
        <v>0</v>
      </c>
      <c r="L33" s="9">
        <v>2</v>
      </c>
      <c r="M33" s="9">
        <v>4</v>
      </c>
      <c r="N33" s="9">
        <v>3</v>
      </c>
      <c r="O33" s="9">
        <v>2</v>
      </c>
      <c r="P33" s="9">
        <v>3</v>
      </c>
      <c r="Q33" s="9">
        <v>2</v>
      </c>
      <c r="R33" s="9">
        <v>1</v>
      </c>
      <c r="S33" s="9">
        <v>5</v>
      </c>
      <c r="T33" s="9">
        <v>3</v>
      </c>
      <c r="U33" s="9">
        <v>4</v>
      </c>
      <c r="V33" s="9">
        <v>3</v>
      </c>
      <c r="W33" s="9">
        <v>6</v>
      </c>
      <c r="X33" s="9">
        <v>4</v>
      </c>
      <c r="Y33" s="9">
        <v>1</v>
      </c>
      <c r="Z33" s="9">
        <v>3</v>
      </c>
      <c r="AA33" s="9">
        <v>2</v>
      </c>
      <c r="AB33" s="9">
        <v>2</v>
      </c>
      <c r="AC33" s="9">
        <v>0</v>
      </c>
      <c r="AD33" s="9">
        <v>3</v>
      </c>
      <c r="AE33" s="9">
        <v>2</v>
      </c>
      <c r="AF33" s="9">
        <v>1</v>
      </c>
      <c r="AG33" s="9">
        <v>3</v>
      </c>
      <c r="AH33" s="9">
        <v>5</v>
      </c>
      <c r="AI33" s="9">
        <v>4</v>
      </c>
      <c r="AJ33" s="9">
        <f t="shared" si="0"/>
        <v>0</v>
      </c>
      <c r="AK33" s="9">
        <f t="shared" si="1"/>
        <v>0</v>
      </c>
    </row>
    <row r="34" spans="1:37" x14ac:dyDescent="0.3">
      <c r="A34" s="8" t="s">
        <v>16</v>
      </c>
      <c r="B34" s="32">
        <v>2290166850411</v>
      </c>
      <c r="C34" s="8" t="s">
        <v>40</v>
      </c>
      <c r="D34" s="8" t="s">
        <v>44</v>
      </c>
      <c r="E34" s="9">
        <v>11</v>
      </c>
      <c r="F34" s="9">
        <v>11</v>
      </c>
      <c r="G34" s="9">
        <v>10</v>
      </c>
      <c r="H34" s="9">
        <v>7</v>
      </c>
      <c r="I34" s="9">
        <v>8</v>
      </c>
      <c r="J34" s="9">
        <v>4</v>
      </c>
      <c r="K34" s="9">
        <v>0</v>
      </c>
      <c r="L34" s="9">
        <v>11</v>
      </c>
      <c r="M34" s="9">
        <v>9</v>
      </c>
      <c r="N34" s="9">
        <v>10</v>
      </c>
      <c r="O34" s="9">
        <v>10</v>
      </c>
      <c r="P34" s="9">
        <v>8</v>
      </c>
      <c r="Q34" s="9">
        <v>8</v>
      </c>
      <c r="R34" s="9">
        <v>0</v>
      </c>
      <c r="S34" s="9">
        <v>10</v>
      </c>
      <c r="T34" s="9">
        <v>8</v>
      </c>
      <c r="U34" s="9">
        <v>6</v>
      </c>
      <c r="V34" s="9">
        <v>6</v>
      </c>
      <c r="W34" s="9">
        <v>7</v>
      </c>
      <c r="X34" s="9">
        <v>6</v>
      </c>
      <c r="Y34" s="9">
        <v>1</v>
      </c>
      <c r="Z34" s="9">
        <v>6</v>
      </c>
      <c r="AA34" s="9">
        <v>8</v>
      </c>
      <c r="AB34" s="9">
        <v>6</v>
      </c>
      <c r="AC34" s="9">
        <v>6</v>
      </c>
      <c r="AD34" s="9">
        <v>7</v>
      </c>
      <c r="AE34" s="9">
        <v>4</v>
      </c>
      <c r="AF34" s="9">
        <v>0</v>
      </c>
      <c r="AG34" s="9">
        <v>6</v>
      </c>
      <c r="AH34" s="9">
        <v>5</v>
      </c>
      <c r="AI34" s="9">
        <v>0</v>
      </c>
      <c r="AJ34" s="9">
        <f t="shared" si="0"/>
        <v>0</v>
      </c>
      <c r="AK34" s="9">
        <f t="shared" si="1"/>
        <v>0</v>
      </c>
    </row>
    <row r="35" spans="1:37" x14ac:dyDescent="0.3">
      <c r="A35" s="8" t="s">
        <v>28</v>
      </c>
      <c r="B35" s="32">
        <v>2290166583033</v>
      </c>
      <c r="C35" s="8" t="s">
        <v>42</v>
      </c>
      <c r="D35" s="8" t="s">
        <v>47</v>
      </c>
      <c r="E35" s="9">
        <v>0</v>
      </c>
      <c r="F35" s="9">
        <v>2</v>
      </c>
      <c r="G35" s="9">
        <v>1</v>
      </c>
      <c r="H35" s="9">
        <v>1</v>
      </c>
      <c r="I35" s="9">
        <v>1</v>
      </c>
      <c r="J35" s="9">
        <v>0</v>
      </c>
      <c r="K35" s="9">
        <v>0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0</v>
      </c>
      <c r="R35" s="9">
        <v>0</v>
      </c>
      <c r="S35" s="9">
        <v>1</v>
      </c>
      <c r="T35" s="9">
        <v>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1</v>
      </c>
      <c r="AC35" s="9">
        <v>0</v>
      </c>
      <c r="AD35" s="9">
        <v>0</v>
      </c>
      <c r="AE35" s="9">
        <v>1</v>
      </c>
      <c r="AF35" s="9">
        <v>0</v>
      </c>
      <c r="AG35" s="9">
        <v>0</v>
      </c>
      <c r="AH35" s="9">
        <v>0</v>
      </c>
      <c r="AI35" s="9">
        <v>0</v>
      </c>
      <c r="AJ35" s="9">
        <f t="shared" si="0"/>
        <v>0</v>
      </c>
      <c r="AK35" s="9">
        <f t="shared" si="1"/>
        <v>0</v>
      </c>
    </row>
    <row r="36" spans="1:37" x14ac:dyDescent="0.3">
      <c r="A36" s="8" t="s">
        <v>7</v>
      </c>
      <c r="B36" s="32">
        <v>2290191699169</v>
      </c>
      <c r="C36" s="8" t="s">
        <v>42</v>
      </c>
      <c r="D36" s="8" t="s">
        <v>41</v>
      </c>
      <c r="E36" s="9">
        <v>11</v>
      </c>
      <c r="F36" s="9">
        <v>9</v>
      </c>
      <c r="G36" s="9">
        <v>7</v>
      </c>
      <c r="H36" s="9">
        <v>8</v>
      </c>
      <c r="I36" s="9">
        <v>15</v>
      </c>
      <c r="J36" s="9">
        <v>9</v>
      </c>
      <c r="K36" s="9">
        <v>2</v>
      </c>
      <c r="L36" s="9">
        <v>12</v>
      </c>
      <c r="M36" s="9">
        <v>10</v>
      </c>
      <c r="N36" s="9">
        <v>12</v>
      </c>
      <c r="O36" s="9">
        <v>10</v>
      </c>
      <c r="P36" s="9">
        <v>9</v>
      </c>
      <c r="Q36" s="9">
        <v>11</v>
      </c>
      <c r="R36" s="9">
        <v>7</v>
      </c>
      <c r="S36" s="9">
        <v>10</v>
      </c>
      <c r="T36" s="9">
        <v>11</v>
      </c>
      <c r="U36" s="9">
        <v>9</v>
      </c>
      <c r="V36" s="9">
        <v>12</v>
      </c>
      <c r="W36" s="9">
        <v>6</v>
      </c>
      <c r="X36" s="9">
        <v>7</v>
      </c>
      <c r="Y36" s="9">
        <v>7</v>
      </c>
      <c r="Z36" s="9">
        <v>12</v>
      </c>
      <c r="AA36" s="9">
        <v>10</v>
      </c>
      <c r="AB36" s="9">
        <v>7</v>
      </c>
      <c r="AC36" s="9">
        <v>5</v>
      </c>
      <c r="AD36" s="9">
        <v>8</v>
      </c>
      <c r="AE36" s="9">
        <v>9</v>
      </c>
      <c r="AF36" s="9">
        <v>1</v>
      </c>
      <c r="AG36" s="9">
        <v>4</v>
      </c>
      <c r="AH36" s="9">
        <v>3</v>
      </c>
      <c r="AI36" s="9">
        <v>0</v>
      </c>
      <c r="AJ36" s="9">
        <f t="shared" si="0"/>
        <v>1</v>
      </c>
      <c r="AK36" s="9">
        <f t="shared" si="1"/>
        <v>0</v>
      </c>
    </row>
    <row r="37" spans="1:37" x14ac:dyDescent="0.3">
      <c r="A37" s="8" t="s">
        <v>6</v>
      </c>
      <c r="B37" s="32">
        <v>2290161255497</v>
      </c>
      <c r="C37" s="8" t="s">
        <v>42</v>
      </c>
      <c r="D37" s="8" t="s">
        <v>41</v>
      </c>
      <c r="E37" s="9">
        <v>17</v>
      </c>
      <c r="F37" s="9">
        <v>18</v>
      </c>
      <c r="G37" s="9">
        <v>18</v>
      </c>
      <c r="H37" s="9">
        <v>15</v>
      </c>
      <c r="I37" s="9">
        <v>18</v>
      </c>
      <c r="J37" s="9">
        <v>19</v>
      </c>
      <c r="K37" s="9">
        <v>0</v>
      </c>
      <c r="L37" s="9">
        <v>11</v>
      </c>
      <c r="M37" s="9">
        <v>10</v>
      </c>
      <c r="N37" s="9">
        <v>15</v>
      </c>
      <c r="O37" s="9">
        <v>18</v>
      </c>
      <c r="P37" s="9">
        <v>16</v>
      </c>
      <c r="Q37" s="9">
        <v>11</v>
      </c>
      <c r="R37" s="9">
        <v>12</v>
      </c>
      <c r="S37" s="9">
        <v>16</v>
      </c>
      <c r="T37" s="9">
        <v>17</v>
      </c>
      <c r="U37" s="9">
        <v>13</v>
      </c>
      <c r="V37" s="9">
        <v>15</v>
      </c>
      <c r="W37" s="9">
        <v>19</v>
      </c>
      <c r="X37" s="9">
        <v>5</v>
      </c>
      <c r="Y37" s="9">
        <v>7</v>
      </c>
      <c r="Z37" s="9">
        <v>8</v>
      </c>
      <c r="AA37" s="9">
        <v>10</v>
      </c>
      <c r="AB37" s="9">
        <v>9</v>
      </c>
      <c r="AC37" s="9">
        <v>5</v>
      </c>
      <c r="AD37" s="9">
        <v>11</v>
      </c>
      <c r="AE37" s="9">
        <v>1</v>
      </c>
      <c r="AF37" s="9">
        <v>0</v>
      </c>
      <c r="AG37" s="9">
        <v>4</v>
      </c>
      <c r="AH37" s="9">
        <v>1</v>
      </c>
      <c r="AI37" s="9">
        <v>0</v>
      </c>
      <c r="AJ37" s="9">
        <f t="shared" si="0"/>
        <v>13</v>
      </c>
      <c r="AK37" s="9">
        <f t="shared" si="1"/>
        <v>0</v>
      </c>
    </row>
    <row r="38" spans="1:37" x14ac:dyDescent="0.3">
      <c r="A38" s="8" t="s">
        <v>19</v>
      </c>
      <c r="B38" s="32">
        <v>2290190911414</v>
      </c>
      <c r="C38" s="8" t="s">
        <v>42</v>
      </c>
      <c r="D38" s="8" t="s">
        <v>48</v>
      </c>
      <c r="E38" s="9">
        <v>15</v>
      </c>
      <c r="F38" s="9">
        <v>9</v>
      </c>
      <c r="G38" s="9">
        <v>9</v>
      </c>
      <c r="H38" s="9">
        <v>8</v>
      </c>
      <c r="I38" s="9">
        <v>6</v>
      </c>
      <c r="J38" s="9">
        <v>4</v>
      </c>
      <c r="K38" s="9">
        <v>2</v>
      </c>
      <c r="L38" s="9">
        <v>4</v>
      </c>
      <c r="M38" s="9">
        <v>4</v>
      </c>
      <c r="N38" s="9">
        <v>11</v>
      </c>
      <c r="O38" s="9">
        <v>11</v>
      </c>
      <c r="P38" s="9">
        <v>5</v>
      </c>
      <c r="Q38" s="9">
        <v>4</v>
      </c>
      <c r="R38" s="9">
        <v>5</v>
      </c>
      <c r="S38" s="9">
        <v>12</v>
      </c>
      <c r="T38" s="9">
        <v>8</v>
      </c>
      <c r="U38" s="9">
        <v>10</v>
      </c>
      <c r="V38" s="9">
        <v>5</v>
      </c>
      <c r="W38" s="9">
        <v>8</v>
      </c>
      <c r="X38" s="9">
        <v>5</v>
      </c>
      <c r="Y38" s="9">
        <v>9</v>
      </c>
      <c r="Z38" s="9">
        <v>6</v>
      </c>
      <c r="AA38" s="9">
        <v>15</v>
      </c>
      <c r="AB38" s="9">
        <v>7</v>
      </c>
      <c r="AC38" s="9">
        <v>5</v>
      </c>
      <c r="AD38" s="9">
        <v>7</v>
      </c>
      <c r="AE38" s="9">
        <v>5</v>
      </c>
      <c r="AF38" s="9">
        <v>3</v>
      </c>
      <c r="AG38" s="9">
        <v>7</v>
      </c>
      <c r="AH38" s="9">
        <v>5</v>
      </c>
      <c r="AI38" s="9">
        <v>6</v>
      </c>
      <c r="AJ38" s="9">
        <f t="shared" si="0"/>
        <v>2</v>
      </c>
      <c r="AK38" s="9">
        <f t="shared" si="1"/>
        <v>0</v>
      </c>
    </row>
    <row r="39" spans="1:37" x14ac:dyDescent="0.3">
      <c r="A39" s="8" t="s">
        <v>120</v>
      </c>
      <c r="B39" s="32">
        <v>2290146039832</v>
      </c>
      <c r="C39" s="8" t="s">
        <v>42</v>
      </c>
      <c r="D39" s="8" t="s">
        <v>46</v>
      </c>
      <c r="E39" s="9">
        <v>9</v>
      </c>
      <c r="F39" s="9">
        <v>7</v>
      </c>
      <c r="G39" s="9">
        <v>9</v>
      </c>
      <c r="H39" s="9">
        <v>7</v>
      </c>
      <c r="I39" s="9">
        <v>12</v>
      </c>
      <c r="J39" s="9">
        <v>8</v>
      </c>
      <c r="K39" s="9">
        <v>1</v>
      </c>
      <c r="L39" s="9">
        <v>4</v>
      </c>
      <c r="M39" s="9">
        <v>9</v>
      </c>
      <c r="N39" s="9">
        <v>6</v>
      </c>
      <c r="O39" s="9">
        <v>7</v>
      </c>
      <c r="P39" s="9">
        <v>11</v>
      </c>
      <c r="Q39" s="9">
        <v>7</v>
      </c>
      <c r="R39" s="9">
        <v>4</v>
      </c>
      <c r="S39" s="9">
        <v>6</v>
      </c>
      <c r="T39" s="9">
        <v>10</v>
      </c>
      <c r="U39" s="9">
        <v>7</v>
      </c>
      <c r="V39" s="9">
        <v>8</v>
      </c>
      <c r="W39" s="9">
        <v>8</v>
      </c>
      <c r="X39" s="9">
        <v>4</v>
      </c>
      <c r="Y39" s="9">
        <v>3</v>
      </c>
      <c r="Z39" s="9">
        <v>9</v>
      </c>
      <c r="AA39" s="9">
        <v>9</v>
      </c>
      <c r="AB39" s="9">
        <v>5</v>
      </c>
      <c r="AC39" s="9">
        <v>2</v>
      </c>
      <c r="AD39" s="9">
        <v>7</v>
      </c>
      <c r="AE39" s="9">
        <v>1</v>
      </c>
      <c r="AF39" s="9">
        <v>6</v>
      </c>
      <c r="AG39" s="9">
        <v>5</v>
      </c>
      <c r="AH39" s="9">
        <v>2</v>
      </c>
      <c r="AI39" s="9">
        <v>1</v>
      </c>
      <c r="AJ39" s="9">
        <f t="shared" si="0"/>
        <v>0</v>
      </c>
      <c r="AK39" s="9">
        <f t="shared" si="1"/>
        <v>0</v>
      </c>
    </row>
    <row r="40" spans="1:37" x14ac:dyDescent="0.3">
      <c r="A40" s="8" t="s">
        <v>21</v>
      </c>
      <c r="B40" s="32">
        <v>2290191676808</v>
      </c>
      <c r="C40" s="8" t="s">
        <v>42</v>
      </c>
      <c r="D40" s="8" t="s">
        <v>46</v>
      </c>
      <c r="E40" s="9">
        <v>13</v>
      </c>
      <c r="F40" s="9">
        <v>17</v>
      </c>
      <c r="G40" s="9">
        <v>6</v>
      </c>
      <c r="H40" s="9">
        <v>6</v>
      </c>
      <c r="I40" s="9">
        <v>5</v>
      </c>
      <c r="J40" s="9">
        <v>4</v>
      </c>
      <c r="K40" s="9">
        <v>0</v>
      </c>
      <c r="L40" s="9">
        <v>12</v>
      </c>
      <c r="M40" s="9">
        <v>16</v>
      </c>
      <c r="N40" s="9">
        <v>19</v>
      </c>
      <c r="O40" s="9">
        <v>9</v>
      </c>
      <c r="P40" s="9">
        <v>5</v>
      </c>
      <c r="Q40" s="9">
        <v>10</v>
      </c>
      <c r="R40" s="9">
        <v>6</v>
      </c>
      <c r="S40" s="9">
        <v>11</v>
      </c>
      <c r="T40" s="9">
        <v>9</v>
      </c>
      <c r="U40" s="9">
        <v>13</v>
      </c>
      <c r="V40" s="9">
        <v>10</v>
      </c>
      <c r="W40" s="9">
        <v>4</v>
      </c>
      <c r="X40" s="9">
        <v>8</v>
      </c>
      <c r="Y40" s="9">
        <v>1</v>
      </c>
      <c r="Z40" s="9">
        <v>10</v>
      </c>
      <c r="AA40" s="9">
        <v>14</v>
      </c>
      <c r="AB40" s="9">
        <v>9</v>
      </c>
      <c r="AC40" s="9">
        <v>0</v>
      </c>
      <c r="AD40" s="9">
        <v>1</v>
      </c>
      <c r="AE40" s="9">
        <v>6</v>
      </c>
      <c r="AF40" s="9">
        <v>0</v>
      </c>
      <c r="AG40" s="9">
        <v>6</v>
      </c>
      <c r="AH40" s="9">
        <v>2</v>
      </c>
      <c r="AI40" s="9">
        <v>0</v>
      </c>
      <c r="AJ40" s="9">
        <f t="shared" si="0"/>
        <v>3</v>
      </c>
      <c r="AK40" s="9">
        <f t="shared" si="1"/>
        <v>0</v>
      </c>
    </row>
    <row r="41" spans="1:37" x14ac:dyDescent="0.3">
      <c r="A41" s="8" t="s">
        <v>26</v>
      </c>
      <c r="B41" s="32">
        <v>2290196262368</v>
      </c>
      <c r="C41" s="8" t="s">
        <v>42</v>
      </c>
      <c r="D41" s="8" t="s">
        <v>45</v>
      </c>
      <c r="E41" s="9">
        <v>6</v>
      </c>
      <c r="F41" s="9">
        <v>5</v>
      </c>
      <c r="G41" s="9">
        <v>0</v>
      </c>
      <c r="H41" s="9">
        <v>6</v>
      </c>
      <c r="I41" s="9">
        <v>1</v>
      </c>
      <c r="J41" s="9">
        <v>5</v>
      </c>
      <c r="K41" s="9">
        <v>0</v>
      </c>
      <c r="L41" s="9">
        <v>1</v>
      </c>
      <c r="M41" s="9">
        <v>1</v>
      </c>
      <c r="N41" s="9">
        <v>4</v>
      </c>
      <c r="O41" s="9">
        <v>3</v>
      </c>
      <c r="P41" s="9">
        <v>4</v>
      </c>
      <c r="Q41" s="9">
        <v>2</v>
      </c>
      <c r="R41" s="9">
        <v>1</v>
      </c>
      <c r="S41" s="9">
        <v>6</v>
      </c>
      <c r="T41" s="9">
        <v>3</v>
      </c>
      <c r="U41" s="9">
        <v>1</v>
      </c>
      <c r="V41" s="9">
        <v>4</v>
      </c>
      <c r="W41" s="9">
        <v>4</v>
      </c>
      <c r="X41" s="9">
        <v>2</v>
      </c>
      <c r="Y41" s="9">
        <v>4</v>
      </c>
      <c r="Z41" s="9">
        <v>2</v>
      </c>
      <c r="AA41" s="9">
        <v>2</v>
      </c>
      <c r="AB41" s="9">
        <v>1</v>
      </c>
      <c r="AC41" s="9">
        <v>1</v>
      </c>
      <c r="AD41" s="9">
        <v>2</v>
      </c>
      <c r="AE41" s="9">
        <v>2</v>
      </c>
      <c r="AF41" s="9">
        <v>0</v>
      </c>
      <c r="AG41" s="9">
        <v>2</v>
      </c>
      <c r="AH41" s="9">
        <v>1</v>
      </c>
      <c r="AI41" s="9">
        <v>0</v>
      </c>
      <c r="AJ41" s="9">
        <f t="shared" si="0"/>
        <v>0</v>
      </c>
      <c r="AK41" s="9">
        <f t="shared" si="1"/>
        <v>0</v>
      </c>
    </row>
    <row r="42" spans="1:37" x14ac:dyDescent="0.3">
      <c r="A42" s="8" t="s">
        <v>116</v>
      </c>
      <c r="B42" s="32">
        <v>2290197017276</v>
      </c>
      <c r="C42" s="8" t="s">
        <v>42</v>
      </c>
      <c r="D42" s="8" t="s">
        <v>41</v>
      </c>
      <c r="E42" s="9">
        <v>23</v>
      </c>
      <c r="F42" s="9">
        <v>27</v>
      </c>
      <c r="G42" s="9">
        <v>20</v>
      </c>
      <c r="H42" s="9">
        <v>21</v>
      </c>
      <c r="I42" s="9">
        <v>23</v>
      </c>
      <c r="J42" s="9">
        <v>23</v>
      </c>
      <c r="K42" s="9">
        <v>1</v>
      </c>
      <c r="L42" s="9">
        <v>25</v>
      </c>
      <c r="M42" s="9">
        <v>21</v>
      </c>
      <c r="N42" s="9">
        <v>23</v>
      </c>
      <c r="O42" s="9">
        <v>22</v>
      </c>
      <c r="P42" s="9">
        <v>21</v>
      </c>
      <c r="Q42" s="9">
        <v>9</v>
      </c>
      <c r="R42" s="9">
        <v>16</v>
      </c>
      <c r="S42" s="9">
        <v>18</v>
      </c>
      <c r="T42" s="9">
        <v>22</v>
      </c>
      <c r="U42" s="9">
        <v>14</v>
      </c>
      <c r="V42" s="9">
        <v>20</v>
      </c>
      <c r="W42" s="9">
        <v>18</v>
      </c>
      <c r="X42" s="9">
        <v>15</v>
      </c>
      <c r="Y42" s="9">
        <v>12</v>
      </c>
      <c r="Z42" s="9">
        <v>18</v>
      </c>
      <c r="AA42" s="9">
        <v>12</v>
      </c>
      <c r="AB42" s="9">
        <v>9</v>
      </c>
      <c r="AC42" s="9">
        <v>8</v>
      </c>
      <c r="AD42" s="9">
        <v>10</v>
      </c>
      <c r="AE42" s="9">
        <v>13</v>
      </c>
      <c r="AF42" s="9">
        <v>2</v>
      </c>
      <c r="AG42" s="9">
        <v>3</v>
      </c>
      <c r="AH42" s="9">
        <v>3</v>
      </c>
      <c r="AI42" s="9">
        <v>2</v>
      </c>
      <c r="AJ42" s="9">
        <f t="shared" si="0"/>
        <v>18</v>
      </c>
      <c r="AK42" s="9">
        <f t="shared" si="1"/>
        <v>0</v>
      </c>
    </row>
    <row r="43" spans="1:37" x14ac:dyDescent="0.3">
      <c r="A43" s="8" t="s">
        <v>114</v>
      </c>
      <c r="B43" s="32">
        <v>2290166095937</v>
      </c>
      <c r="C43" s="8" t="s">
        <v>42</v>
      </c>
      <c r="D43" s="8" t="s">
        <v>44</v>
      </c>
      <c r="E43" s="9">
        <v>12</v>
      </c>
      <c r="F43" s="9">
        <v>12</v>
      </c>
      <c r="G43" s="9">
        <v>11</v>
      </c>
      <c r="H43" s="9">
        <v>7</v>
      </c>
      <c r="I43" s="9">
        <v>6</v>
      </c>
      <c r="J43" s="9">
        <v>2</v>
      </c>
      <c r="K43" s="9">
        <v>0</v>
      </c>
      <c r="L43" s="9">
        <v>12</v>
      </c>
      <c r="M43" s="9">
        <v>12</v>
      </c>
      <c r="N43" s="9">
        <v>10</v>
      </c>
      <c r="O43" s="9">
        <v>12</v>
      </c>
      <c r="P43" s="9">
        <v>5</v>
      </c>
      <c r="Q43" s="9">
        <v>3</v>
      </c>
      <c r="R43" s="9">
        <v>4</v>
      </c>
      <c r="S43" s="9">
        <v>8</v>
      </c>
      <c r="T43" s="9">
        <v>7</v>
      </c>
      <c r="U43" s="9">
        <v>7</v>
      </c>
      <c r="V43" s="9">
        <v>11</v>
      </c>
      <c r="W43" s="9">
        <v>7</v>
      </c>
      <c r="X43" s="9">
        <v>1</v>
      </c>
      <c r="Y43" s="9">
        <v>1</v>
      </c>
      <c r="Z43" s="9">
        <v>3</v>
      </c>
      <c r="AA43" s="9">
        <v>3</v>
      </c>
      <c r="AB43" s="9">
        <v>5</v>
      </c>
      <c r="AC43" s="9">
        <v>5</v>
      </c>
      <c r="AD43" s="9">
        <v>6</v>
      </c>
      <c r="AE43" s="9">
        <v>3</v>
      </c>
      <c r="AF43" s="9">
        <v>2</v>
      </c>
      <c r="AG43" s="9">
        <v>5</v>
      </c>
      <c r="AH43" s="9">
        <v>4</v>
      </c>
      <c r="AI43" s="9">
        <v>3</v>
      </c>
      <c r="AJ43" s="9">
        <f t="shared" si="0"/>
        <v>0</v>
      </c>
      <c r="AK43" s="9">
        <f t="shared" si="1"/>
        <v>0</v>
      </c>
    </row>
    <row r="44" spans="1:37" x14ac:dyDescent="0.3">
      <c r="A44" s="8" t="s">
        <v>36</v>
      </c>
      <c r="B44" s="8"/>
      <c r="C44" s="8"/>
      <c r="D44" s="8"/>
      <c r="E44" s="13">
        <f>SUM(E4:E43)</f>
        <v>336</v>
      </c>
      <c r="F44" s="13">
        <f t="shared" ref="F44:AH44" si="2">SUM(F4:F43)</f>
        <v>344</v>
      </c>
      <c r="G44" s="13">
        <f t="shared" si="2"/>
        <v>267</v>
      </c>
      <c r="H44" s="13">
        <f t="shared" si="2"/>
        <v>273</v>
      </c>
      <c r="I44" s="13">
        <f t="shared" si="2"/>
        <v>294</v>
      </c>
      <c r="J44" s="13">
        <f t="shared" si="2"/>
        <v>225</v>
      </c>
      <c r="K44" s="13">
        <f t="shared" si="2"/>
        <v>25</v>
      </c>
      <c r="L44" s="13">
        <f t="shared" si="2"/>
        <v>279</v>
      </c>
      <c r="M44" s="13">
        <f t="shared" si="2"/>
        <v>297</v>
      </c>
      <c r="N44" s="13">
        <f t="shared" si="2"/>
        <v>316</v>
      </c>
      <c r="O44" s="13">
        <f t="shared" si="2"/>
        <v>317</v>
      </c>
      <c r="P44" s="13">
        <f t="shared" si="2"/>
        <v>277</v>
      </c>
      <c r="Q44" s="13">
        <f t="shared" si="2"/>
        <v>209</v>
      </c>
      <c r="R44" s="13">
        <f t="shared" si="2"/>
        <v>117</v>
      </c>
      <c r="S44" s="13">
        <f t="shared" si="2"/>
        <v>313</v>
      </c>
      <c r="T44" s="13">
        <f t="shared" si="2"/>
        <v>280</v>
      </c>
      <c r="U44" s="13">
        <f t="shared" si="2"/>
        <v>258</v>
      </c>
      <c r="V44" s="13">
        <f t="shared" si="2"/>
        <v>267</v>
      </c>
      <c r="W44" s="13">
        <f t="shared" si="2"/>
        <v>242</v>
      </c>
      <c r="X44" s="13">
        <f t="shared" si="2"/>
        <v>180</v>
      </c>
      <c r="Y44" s="13">
        <f t="shared" si="2"/>
        <v>96</v>
      </c>
      <c r="Z44" s="13">
        <f t="shared" si="2"/>
        <v>228</v>
      </c>
      <c r="AA44" s="13">
        <f t="shared" si="2"/>
        <v>245</v>
      </c>
      <c r="AB44" s="13">
        <f t="shared" si="2"/>
        <v>197</v>
      </c>
      <c r="AC44" s="13">
        <f t="shared" si="2"/>
        <v>106</v>
      </c>
      <c r="AD44" s="13">
        <f t="shared" si="2"/>
        <v>201</v>
      </c>
      <c r="AE44" s="13">
        <f t="shared" si="2"/>
        <v>154</v>
      </c>
      <c r="AF44" s="13">
        <f t="shared" si="2"/>
        <v>50</v>
      </c>
      <c r="AG44" s="13">
        <f t="shared" si="2"/>
        <v>188</v>
      </c>
      <c r="AH44" s="13">
        <f t="shared" si="2"/>
        <v>148</v>
      </c>
      <c r="AI44" s="13"/>
      <c r="AJ44" s="13">
        <f>SUM(AJ4:AJ43)</f>
        <v>87</v>
      </c>
      <c r="AK44" s="9">
        <f t="shared" si="1"/>
        <v>20000</v>
      </c>
    </row>
  </sheetData>
  <autoFilter ref="A3:AK44" xr:uid="{454D4AD2-A1C4-4C4C-914E-73BE39AE63C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F4FB-8108-45F9-924A-923F5E1EAD52}">
  <dimension ref="C2:G6"/>
  <sheetViews>
    <sheetView showGridLines="0" tabSelected="1" workbookViewId="0">
      <selection activeCell="F5" sqref="F5"/>
    </sheetView>
  </sheetViews>
  <sheetFormatPr defaultRowHeight="14.4" x14ac:dyDescent="0.3"/>
  <cols>
    <col min="3" max="3" width="14" customWidth="1"/>
    <col min="4" max="4" width="15.5546875" customWidth="1"/>
    <col min="5" max="5" width="12.6640625" customWidth="1"/>
    <col min="6" max="6" width="12.21875" customWidth="1"/>
    <col min="7" max="7" width="20.77734375" customWidth="1"/>
  </cols>
  <sheetData>
    <row r="2" spans="3:7" x14ac:dyDescent="0.3">
      <c r="G2" s="1">
        <f>SUBTOTAL(109,G4:G6)</f>
        <v>76860</v>
      </c>
    </row>
    <row r="3" spans="3:7" x14ac:dyDescent="0.3">
      <c r="C3" s="5" t="s">
        <v>0</v>
      </c>
      <c r="D3" s="5" t="s">
        <v>110</v>
      </c>
      <c r="E3" s="6" t="s">
        <v>58</v>
      </c>
      <c r="F3" s="7" t="s">
        <v>51</v>
      </c>
      <c r="G3" s="7" t="s">
        <v>59</v>
      </c>
    </row>
    <row r="4" spans="3:7" x14ac:dyDescent="0.3">
      <c r="C4" s="8" t="s">
        <v>7</v>
      </c>
      <c r="D4" s="32">
        <v>2290191699169</v>
      </c>
      <c r="E4" s="8">
        <v>28</v>
      </c>
      <c r="F4" s="9">
        <v>2309</v>
      </c>
      <c r="G4" s="9">
        <f>F4*5</f>
        <v>11545</v>
      </c>
    </row>
    <row r="5" spans="3:7" x14ac:dyDescent="0.3">
      <c r="C5" s="8" t="s">
        <v>6</v>
      </c>
      <c r="D5" s="32">
        <v>2290161255497</v>
      </c>
      <c r="E5" s="8">
        <v>27</v>
      </c>
      <c r="F5" s="9">
        <v>5758</v>
      </c>
      <c r="G5" s="9">
        <f t="shared" ref="G5:G6" si="0">F5*5</f>
        <v>28790</v>
      </c>
    </row>
    <row r="6" spans="3:7" x14ac:dyDescent="0.3">
      <c r="C6" s="8" t="s">
        <v>2</v>
      </c>
      <c r="D6" s="32">
        <v>2290197017276</v>
      </c>
      <c r="E6" s="8">
        <v>40</v>
      </c>
      <c r="F6" s="9">
        <v>7305</v>
      </c>
      <c r="G6" s="9">
        <f t="shared" si="0"/>
        <v>36525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3863-9EA8-4D56-B0DE-8665AD944E0B}">
  <dimension ref="B2:I51"/>
  <sheetViews>
    <sheetView showGridLines="0" topLeftCell="A24" workbookViewId="0">
      <selection activeCell="F47" sqref="F47"/>
    </sheetView>
  </sheetViews>
  <sheetFormatPr defaultRowHeight="14.4" x14ac:dyDescent="0.3"/>
  <cols>
    <col min="2" max="2" width="34.33203125" customWidth="1"/>
    <col min="3" max="3" width="11.6640625" customWidth="1"/>
    <col min="4" max="4" width="23.21875" customWidth="1"/>
    <col min="5" max="5" width="26.109375" customWidth="1"/>
  </cols>
  <sheetData>
    <row r="2" spans="2:9" x14ac:dyDescent="0.3">
      <c r="B2" s="2" t="s">
        <v>69</v>
      </c>
    </row>
    <row r="4" spans="2:9" x14ac:dyDescent="0.3">
      <c r="B4" s="20" t="s">
        <v>70</v>
      </c>
      <c r="C4" s="21" t="s">
        <v>71</v>
      </c>
      <c r="D4" s="22" t="s">
        <v>72</v>
      </c>
      <c r="E4" s="23" t="s">
        <v>73</v>
      </c>
    </row>
    <row r="5" spans="2:9" x14ac:dyDescent="0.3">
      <c r="B5" s="8" t="s">
        <v>74</v>
      </c>
      <c r="C5" s="24">
        <v>200</v>
      </c>
      <c r="D5" s="24">
        <v>200</v>
      </c>
      <c r="E5" s="24">
        <v>200</v>
      </c>
    </row>
    <row r="6" spans="2:9" x14ac:dyDescent="0.3">
      <c r="B6" s="8" t="s">
        <v>75</v>
      </c>
      <c r="C6" s="24"/>
      <c r="D6" s="25" t="s">
        <v>76</v>
      </c>
      <c r="E6" s="25" t="s">
        <v>77</v>
      </c>
    </row>
    <row r="9" spans="2:9" x14ac:dyDescent="0.3">
      <c r="B9" s="20" t="s">
        <v>78</v>
      </c>
      <c r="C9" s="21" t="s">
        <v>79</v>
      </c>
    </row>
    <row r="10" spans="2:9" x14ac:dyDescent="0.3">
      <c r="B10" s="8" t="s">
        <v>80</v>
      </c>
      <c r="C10" s="9">
        <v>10</v>
      </c>
      <c r="I10" s="1"/>
    </row>
    <row r="11" spans="2:9" x14ac:dyDescent="0.3">
      <c r="B11" s="8" t="s">
        <v>81</v>
      </c>
      <c r="C11" s="9">
        <f>C10*200</f>
        <v>2000</v>
      </c>
    </row>
    <row r="12" spans="2:9" x14ac:dyDescent="0.3">
      <c r="B12" s="8" t="s">
        <v>82</v>
      </c>
      <c r="C12" s="9">
        <f>200*4</f>
        <v>800</v>
      </c>
    </row>
    <row r="13" spans="2:9" x14ac:dyDescent="0.3">
      <c r="B13" s="8" t="s">
        <v>83</v>
      </c>
      <c r="C13" s="9">
        <f>4*250</f>
        <v>1000</v>
      </c>
    </row>
    <row r="14" spans="2:9" ht="15" thickBot="1" x14ac:dyDescent="0.35">
      <c r="B14" s="16" t="s">
        <v>84</v>
      </c>
      <c r="C14" s="26">
        <f>SUM(C11:C13)</f>
        <v>3800</v>
      </c>
    </row>
    <row r="15" spans="2:9" ht="15" thickTop="1" x14ac:dyDescent="0.3"/>
    <row r="18" spans="2:5" x14ac:dyDescent="0.3">
      <c r="B18" s="27" t="s">
        <v>85</v>
      </c>
    </row>
    <row r="19" spans="2:5" x14ac:dyDescent="0.3">
      <c r="B19" s="2"/>
    </row>
    <row r="20" spans="2:5" x14ac:dyDescent="0.3">
      <c r="B20" s="10" t="s">
        <v>86</v>
      </c>
      <c r="C20" s="6" t="s">
        <v>64</v>
      </c>
      <c r="D20" s="6" t="s">
        <v>87</v>
      </c>
      <c r="E20" s="6" t="s">
        <v>88</v>
      </c>
    </row>
    <row r="21" spans="2:5" x14ac:dyDescent="0.3">
      <c r="B21" s="8" t="s">
        <v>57</v>
      </c>
      <c r="C21" s="9">
        <v>40000</v>
      </c>
      <c r="D21" s="24" t="s">
        <v>89</v>
      </c>
      <c r="E21" s="24" t="s">
        <v>90</v>
      </c>
    </row>
    <row r="22" spans="2:5" x14ac:dyDescent="0.3">
      <c r="B22" s="8" t="s">
        <v>75</v>
      </c>
      <c r="C22" s="9">
        <v>20000</v>
      </c>
      <c r="D22" s="24" t="s">
        <v>91</v>
      </c>
      <c r="E22" s="24" t="s">
        <v>92</v>
      </c>
    </row>
    <row r="23" spans="2:5" x14ac:dyDescent="0.3">
      <c r="B23" s="8" t="s">
        <v>53</v>
      </c>
      <c r="C23" s="9">
        <v>50000</v>
      </c>
      <c r="D23" s="8"/>
      <c r="E23" s="8"/>
    </row>
    <row r="24" spans="2:5" x14ac:dyDescent="0.3">
      <c r="B24" s="8" t="s">
        <v>93</v>
      </c>
      <c r="C24" s="13">
        <f>SUM(C21:C23)</f>
        <v>110000</v>
      </c>
      <c r="D24" s="8"/>
      <c r="E24" s="8"/>
    </row>
    <row r="26" spans="2:5" x14ac:dyDescent="0.3">
      <c r="B26" s="2" t="s">
        <v>94</v>
      </c>
    </row>
    <row r="30" spans="2:5" x14ac:dyDescent="0.3">
      <c r="B30" s="27" t="s">
        <v>95</v>
      </c>
    </row>
    <row r="32" spans="2:5" x14ac:dyDescent="0.3">
      <c r="B32" s="3" t="s">
        <v>86</v>
      </c>
      <c r="C32" s="3" t="s">
        <v>64</v>
      </c>
      <c r="D32" s="3" t="s">
        <v>96</v>
      </c>
      <c r="E32" s="3" t="s">
        <v>97</v>
      </c>
    </row>
    <row r="33" spans="2:5" x14ac:dyDescent="0.3">
      <c r="B33" t="s">
        <v>57</v>
      </c>
      <c r="C33">
        <v>20000</v>
      </c>
      <c r="D33" s="1">
        <v>0</v>
      </c>
      <c r="E33" s="1">
        <v>20000</v>
      </c>
    </row>
    <row r="34" spans="2:5" x14ac:dyDescent="0.3">
      <c r="B34" t="s">
        <v>98</v>
      </c>
      <c r="C34">
        <v>200</v>
      </c>
      <c r="D34" s="1">
        <f>C34*10</f>
        <v>2000</v>
      </c>
      <c r="E34" s="1">
        <f>D34*25</f>
        <v>50000</v>
      </c>
    </row>
    <row r="35" spans="2:5" x14ac:dyDescent="0.3">
      <c r="B35" t="s">
        <v>99</v>
      </c>
      <c r="C35">
        <v>100</v>
      </c>
      <c r="D35" s="1">
        <f>C35*10</f>
        <v>1000</v>
      </c>
      <c r="E35" s="1">
        <f t="shared" ref="E35:E39" si="0">D35*25</f>
        <v>25000</v>
      </c>
    </row>
    <row r="36" spans="2:5" x14ac:dyDescent="0.3">
      <c r="B36" t="s">
        <v>100</v>
      </c>
      <c r="C36">
        <v>50</v>
      </c>
      <c r="D36" s="1">
        <f>C36*10</f>
        <v>500</v>
      </c>
      <c r="E36" s="1">
        <f t="shared" si="0"/>
        <v>12500</v>
      </c>
    </row>
    <row r="37" spans="2:5" x14ac:dyDescent="0.3">
      <c r="B37" t="s">
        <v>101</v>
      </c>
      <c r="C37">
        <v>50</v>
      </c>
      <c r="D37" s="1">
        <f t="shared" ref="D37" si="1">C37*10</f>
        <v>500</v>
      </c>
      <c r="E37" s="1">
        <f t="shared" si="0"/>
        <v>12500</v>
      </c>
    </row>
    <row r="38" spans="2:5" x14ac:dyDescent="0.3">
      <c r="B38" t="s">
        <v>102</v>
      </c>
      <c r="C38" s="28" t="s">
        <v>76</v>
      </c>
      <c r="D38" s="1">
        <f>C38*4</f>
        <v>800</v>
      </c>
      <c r="E38" s="1">
        <f t="shared" si="0"/>
        <v>20000</v>
      </c>
    </row>
    <row r="39" spans="2:5" x14ac:dyDescent="0.3">
      <c r="B39" t="s">
        <v>103</v>
      </c>
      <c r="C39" s="28" t="s">
        <v>77</v>
      </c>
      <c r="D39" s="1">
        <f>C39*4</f>
        <v>1000</v>
      </c>
      <c r="E39" s="1">
        <f t="shared" si="0"/>
        <v>25000</v>
      </c>
    </row>
    <row r="40" spans="2:5" x14ac:dyDescent="0.3">
      <c r="B40" t="s">
        <v>104</v>
      </c>
      <c r="C40" s="1">
        <v>0</v>
      </c>
      <c r="D40" s="1">
        <v>0</v>
      </c>
      <c r="E40" s="1">
        <v>0</v>
      </c>
    </row>
    <row r="41" spans="2:5" ht="15" thickBot="1" x14ac:dyDescent="0.35">
      <c r="B41" s="16" t="s">
        <v>36</v>
      </c>
      <c r="C41" s="16"/>
      <c r="D41" s="26">
        <f>SUM(D34:D39)</f>
        <v>5800</v>
      </c>
      <c r="E41" s="26">
        <f>SUM(E33:E39)</f>
        <v>165000</v>
      </c>
    </row>
    <row r="42" spans="2:5" ht="15" thickTop="1" x14ac:dyDescent="0.3"/>
    <row r="45" spans="2:5" x14ac:dyDescent="0.3">
      <c r="B45" s="3" t="s">
        <v>105</v>
      </c>
      <c r="C45" s="3" t="s">
        <v>64</v>
      </c>
      <c r="D45" s="3" t="s">
        <v>106</v>
      </c>
    </row>
    <row r="46" spans="2:5" x14ac:dyDescent="0.3">
      <c r="B46" t="s">
        <v>57</v>
      </c>
      <c r="C46" s="1">
        <v>60000</v>
      </c>
      <c r="D46" t="s">
        <v>91</v>
      </c>
    </row>
    <row r="47" spans="2:5" x14ac:dyDescent="0.3">
      <c r="B47" t="s">
        <v>53</v>
      </c>
      <c r="C47" s="1">
        <v>50000</v>
      </c>
    </row>
    <row r="48" spans="2:5" x14ac:dyDescent="0.3">
      <c r="B48" t="s">
        <v>107</v>
      </c>
      <c r="C48" s="1">
        <v>18750</v>
      </c>
      <c r="D48" t="s">
        <v>108</v>
      </c>
    </row>
    <row r="49" spans="2:4" ht="15" thickBot="1" x14ac:dyDescent="0.35">
      <c r="B49" s="15" t="s">
        <v>93</v>
      </c>
      <c r="C49" s="29">
        <f>SUM(C46:C48)</f>
        <v>128750</v>
      </c>
      <c r="D49" s="15"/>
    </row>
    <row r="50" spans="2:4" ht="15" thickTop="1" x14ac:dyDescent="0.3"/>
    <row r="51" spans="2:4" x14ac:dyDescent="0.3">
      <c r="B51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Fixe</vt:lpstr>
      <vt:lpstr>Variable (Performance)</vt:lpstr>
      <vt:lpstr>Variable 15 BA par Jour</vt:lpstr>
      <vt:lpstr>Superviseur Mercenaire prim NA</vt:lpstr>
      <vt:lpstr>Detail des Commission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Gerrish Dash</dc:creator>
  <cp:lastModifiedBy>Gerrish Dash</cp:lastModifiedBy>
  <dcterms:created xsi:type="dcterms:W3CDTF">2025-11-03T12:31:28Z</dcterms:created>
  <dcterms:modified xsi:type="dcterms:W3CDTF">2026-01-22T16:27:11Z</dcterms:modified>
</cp:coreProperties>
</file>